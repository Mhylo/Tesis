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Resumen" sheetId="1" state="visible" r:id="rId1"/>
    <sheet name="Cronograma" sheetId="2" state="visible" r:id="rId2"/>
    <sheet name="Tareas" sheetId="3" state="visible" r:id="rId3"/>
    <sheet name="Hitos" sheetId="4" state="visible" r:id="rId4"/>
  </sheets>
  <definedNames>
    <definedName name="_xlnm._FilterDatabase" localSheetId="2" hidden="1">'Tareas'!$A$3:$I$62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sz val="9"/>
    </font>
    <font>
      <name val="Arial"/>
      <charset val="1"/>
      <b val="1"/>
      <color rgb="FF1F3864"/>
      <sz val="11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9"/>
    </font>
    <font>
      <name val="Arial"/>
      <charset val="1"/>
      <i val="1"/>
      <sz val="9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9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9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9" fontId="3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color rgb="FF006100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zoomScaleNormal="100" workbookViewId="0">
      <selection activeCell="B25" sqref="B25"/>
    </sheetView>
  </sheetViews>
  <sheetFormatPr baseColWidth="10" defaultColWidth="8.6640625" defaultRowHeight="14.4"/>
  <cols>
    <col width="38" customWidth="1" min="1" max="1"/>
    <col width="18" customWidth="1" min="2" max="2"/>
    <col width="42.5546875" customWidth="1" min="3" max="3"/>
    <col width="60" customWidth="1" min="4" max="4"/>
  </cols>
  <sheetData>
    <row r="1" ht="21.75" customHeight="1">
      <c r="A1" s="22" t="inlineStr">
        <is>
          <t>Trabajo de grado 2026-2 - Propagadores con control de muestreo en DLHM</t>
        </is>
      </c>
    </row>
    <row r="3" ht="15" customHeight="1">
      <c r="A3" s="2" t="inlineStr">
        <is>
          <t>Estudiante</t>
        </is>
      </c>
      <c r="B3" s="23" t="inlineStr">
        <is>
          <t>Camilo Rodriguez Londono</t>
        </is>
      </c>
      <c r="D3" s="24" t="inlineStr">
        <is>
          <t>COMO USAR ESTE ARCHIVO
1. La unica columna que se edita a diario es 'Estado' en la hoja Tareas (lista desplegable: Pendiente / En curso / Hecho / Bloqueado).
2. La hoja Cronograma calcula sola el avance de cada semana; no escribas en sus columnas de formula.
3. Usa la columna 'Notas' de la hoja Tareas para dejar constancia de bloqueos y decisiones.
4. Puedes agregar filas nuevas en Tareas hasta la fila 200 sin romper las formulas.
SUPUESTO A VERIFICAR: se asume que la semana de receso es del 7 al 11 de septiembre. Las fechas institucionales confirmadas son semana 8 = 31 de agosto, semana 14 = 19 de octubre y entrega final = 30 de octubre; si el receso cae en otra semana, corre las fechas intermedias.</t>
        </is>
      </c>
    </row>
    <row r="4">
      <c r="A4" s="2" t="inlineStr">
        <is>
          <t>Asesor principal</t>
        </is>
      </c>
      <c r="B4" s="23" t="inlineStr">
        <is>
          <t>Carlos Alejandro Trujillo Anaya, PhD</t>
        </is>
      </c>
      <c r="D4" s="26" t="n"/>
    </row>
    <row r="5">
      <c r="A5" s="2" t="inlineStr">
        <is>
          <t>Programa</t>
        </is>
      </c>
      <c r="B5" s="23" t="inlineStr">
        <is>
          <t>Ingenieria Fisica - Universidad EAFIT</t>
        </is>
      </c>
      <c r="D5" s="26" t="n"/>
    </row>
    <row r="6">
      <c r="A6" s="2" t="inlineStr">
        <is>
          <t>Modalidad de entrega</t>
        </is>
      </c>
      <c r="B6" s="23" t="inlineStr">
        <is>
          <t>Opcion 2 (grados de diciembre, sin mencion de honor)</t>
        </is>
      </c>
      <c r="D6" s="26" t="n"/>
    </row>
    <row r="7">
      <c r="A7" s="2" t="inlineStr">
        <is>
          <t>Entrega del informe final</t>
        </is>
      </c>
      <c r="B7" s="23" t="inlineStr">
        <is>
          <t>Viernes 30 de octubre de 2026 (semana 15)</t>
        </is>
      </c>
      <c r="D7" s="26" t="n"/>
    </row>
    <row r="8">
      <c r="A8" s="2" t="inlineStr">
        <is>
          <t>Defensa publica</t>
        </is>
      </c>
      <c r="B8" s="23" t="inlineStr">
        <is>
          <t>Hasta el viernes 20 de noviembre de 2026</t>
        </is>
      </c>
      <c r="D8" s="26" t="n"/>
    </row>
    <row r="9">
      <c r="A9" s="2" t="inlineStr">
        <is>
          <t>Ultima revision del plan</t>
        </is>
      </c>
      <c r="B9" s="23" t="inlineStr">
        <is>
          <t>Domingo 23 de agosto de 2026 (fin de semana 6)</t>
        </is>
      </c>
      <c r="D9" s="26" t="n"/>
    </row>
    <row r="10">
      <c r="A10" s="3" t="inlineStr">
        <is>
          <t>AVANCE GLOBAL</t>
        </is>
      </c>
      <c r="D10" s="26" t="n"/>
    </row>
    <row r="11">
      <c r="A11" s="23" t="inlineStr">
        <is>
          <t>Tareas totales</t>
        </is>
      </c>
      <c r="B11" s="4">
        <f>COUNTA(Tareas!$A$4:$A$200)</f>
        <v/>
      </c>
      <c r="D11" s="26" t="n"/>
    </row>
    <row r="12">
      <c r="A12" s="23" t="inlineStr">
        <is>
          <t>Tareas completadas</t>
        </is>
      </c>
      <c r="B12" s="4">
        <f>COUNTIF(Tareas!$G$4:$G$200,"Hecho")</f>
        <v/>
      </c>
      <c r="D12" s="26" t="n"/>
    </row>
    <row r="13">
      <c r="A13" s="23" t="inlineStr">
        <is>
          <t>Tareas en curso</t>
        </is>
      </c>
      <c r="B13" s="4">
        <f>COUNTIF(Tareas!$G$4:$G$200,"En curso")</f>
        <v/>
      </c>
      <c r="D13" s="26" t="n"/>
    </row>
    <row r="14">
      <c r="A14" s="23" t="inlineStr">
        <is>
          <t>Tareas bloqueadas</t>
        </is>
      </c>
      <c r="B14" s="4">
        <f>COUNTIF(Tareas!$G$4:$G$200,"Bloqueado")</f>
        <v/>
      </c>
      <c r="D14" s="26" t="n"/>
    </row>
    <row r="15">
      <c r="A15" s="23" t="inlineStr">
        <is>
          <t>Porcentaje completado</t>
        </is>
      </c>
      <c r="B15" s="5">
        <f>IFERROR(B12/B11,0)</f>
        <v/>
      </c>
      <c r="D15" s="26" t="n"/>
    </row>
    <row r="16">
      <c r="D16" s="26" t="n"/>
    </row>
    <row r="17">
      <c r="A17" s="3" t="inlineStr">
        <is>
          <t>AVANCE POR FASE</t>
        </is>
      </c>
      <c r="D17" s="26" t="n"/>
    </row>
    <row r="18">
      <c r="A18" s="6" t="inlineStr">
        <is>
          <t>Fase</t>
        </is>
      </c>
      <c r="B18" s="6" t="inlineStr">
        <is>
          <t>Tareas</t>
        </is>
      </c>
      <c r="C18" s="6" t="inlineStr">
        <is>
          <t>Hechas</t>
        </is>
      </c>
      <c r="D18" s="26" t="n"/>
    </row>
    <row r="19">
      <c r="A19" s="23" t="inlineStr">
        <is>
          <t>Fase 1 - Implementacion</t>
        </is>
      </c>
      <c r="B19" s="7">
        <f>COUNTIF(Tareas!$C$4:$C$200,"F1")</f>
        <v/>
      </c>
      <c r="C19" s="7">
        <f>COUNTIFS(Tareas!$C$4:$C$200,"F1",Tareas!$G$4:$G$200,"Hecho")</f>
        <v/>
      </c>
      <c r="D19" s="26" t="n"/>
    </row>
    <row r="20">
      <c r="A20" s="23" t="inlineStr">
        <is>
          <t>Fase 2 - Calibracion numerica</t>
        </is>
      </c>
      <c r="B20" s="7">
        <f>COUNTIF(Tareas!$C$4:$C$200,"F2")</f>
        <v/>
      </c>
      <c r="C20" s="7">
        <f>COUNTIFS(Tareas!$C$4:$C$200,"F2",Tareas!$G$4:$G$200,"Hecho")</f>
        <v/>
      </c>
      <c r="D20" s="26" t="n"/>
    </row>
    <row r="21">
      <c r="A21" s="23" t="inlineStr">
        <is>
          <t>Fase 3 - Registro experimental</t>
        </is>
      </c>
      <c r="B21" s="7">
        <f>COUNTIF(Tareas!$C$4:$C$200,"F3")</f>
        <v/>
      </c>
      <c r="C21" s="7">
        <f>COUNTIFS(Tareas!$C$4:$C$200,"F3",Tareas!$G$4:$G$200,"Hecho")</f>
        <v/>
      </c>
      <c r="D21" s="26" t="n"/>
    </row>
    <row r="22">
      <c r="A22" s="23" t="inlineStr">
        <is>
          <t>Fase 4 - Comparacion y redaccion</t>
        </is>
      </c>
      <c r="B22" s="7">
        <f>COUNTIF(Tareas!$C$4:$C$200,"F4")</f>
        <v/>
      </c>
      <c r="C22" s="7">
        <f>COUNTIFS(Tareas!$C$4:$C$200,"F4",Tareas!$G$4:$G$200,"Hecho")</f>
        <v/>
      </c>
      <c r="D22" s="26" t="n"/>
    </row>
    <row r="23">
      <c r="A23" s="23" t="inlineStr">
        <is>
          <t>Hitos institucionales</t>
        </is>
      </c>
      <c r="B23" s="7">
        <f>COUNTIF(Tareas!$C$4:$C$200,"HITO")</f>
        <v/>
      </c>
      <c r="C23" s="7">
        <f>COUNTIFS(Tareas!$C$4:$C$200,"HITO",Tareas!$G$4:$G$200,"Hecho")</f>
        <v/>
      </c>
      <c r="D23" s="27" t="n"/>
    </row>
  </sheetData>
  <mergeCells count="9">
    <mergeCell ref="A1:D1"/>
    <mergeCell ref="B6:C6"/>
    <mergeCell ref="B7:C7"/>
    <mergeCell ref="B3:C3"/>
    <mergeCell ref="D3:D23"/>
    <mergeCell ref="B5:C5"/>
    <mergeCell ref="B9:C9"/>
    <mergeCell ref="B8:C8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ySplit="3" topLeftCell="A4" activePane="bottomLeft" state="frozen"/>
      <selection pane="bottomLeft" activeCell="E5" sqref="E5"/>
    </sheetView>
  </sheetViews>
  <sheetFormatPr baseColWidth="10" defaultColWidth="8.6640625" defaultRowHeight="14.4"/>
  <cols>
    <col width="10" customWidth="1" min="1" max="1"/>
    <col width="18" customWidth="1" min="2" max="2"/>
    <col width="12" customWidth="1" min="3" max="3"/>
    <col width="44" customWidth="1" min="4" max="4"/>
    <col width="40" customWidth="1" min="5" max="5"/>
    <col width="32" customWidth="1" min="6" max="6"/>
    <col width="10" customWidth="1" min="7" max="7"/>
    <col width="12" customWidth="1" min="8" max="8"/>
  </cols>
  <sheetData>
    <row r="1" ht="21.75" customHeight="1">
      <c r="A1" s="22" t="inlineStr">
        <is>
          <t>Cronograma semana a semana</t>
        </is>
      </c>
    </row>
    <row r="3" ht="30" customHeight="1">
      <c r="A3" s="8" t="inlineStr">
        <is>
          <t>Semana</t>
        </is>
      </c>
      <c r="B3" s="8" t="inlineStr">
        <is>
          <t>Fechas</t>
        </is>
      </c>
      <c r="C3" s="8" t="inlineStr">
        <is>
          <t>Fase</t>
        </is>
      </c>
      <c r="D3" s="8" t="inlineStr">
        <is>
          <t>Foco de la semana</t>
        </is>
      </c>
      <c r="E3" s="8" t="inlineStr">
        <is>
          <t>Entregable de la semana</t>
        </is>
      </c>
      <c r="F3" s="8" t="inlineStr">
        <is>
          <t>Hito institucional</t>
        </is>
      </c>
      <c r="G3" s="8" t="inlineStr">
        <is>
          <t>Tareas</t>
        </is>
      </c>
      <c r="H3" s="8" t="inlineStr">
        <is>
          <t>Avance</t>
        </is>
      </c>
    </row>
    <row r="4" ht="33.75" customHeight="1">
      <c r="A4" s="9" t="n">
        <v>4</v>
      </c>
      <c r="B4" s="9" t="inlineStr">
        <is>
          <t>3 - 7 ago</t>
        </is>
      </c>
      <c r="C4" s="9" t="inlineStr">
        <is>
          <t>Fase 1</t>
        </is>
      </c>
      <c r="D4" s="10" t="inlineStr">
        <is>
          <t>Reproducibilidad del codigo base</t>
        </is>
      </c>
      <c r="E4" s="10" t="inlineStr">
        <is>
          <t>Decision sobre el repositorio de Zhao</t>
        </is>
      </c>
      <c r="F4" s="10" t="n"/>
      <c r="G4" s="9">
        <f>COUNTIF(Tareas!$B$4:$B$200,$A4)</f>
        <v/>
      </c>
      <c r="H4" s="11">
        <f>IFERROR(COUNTIFS(Tareas!$B$4:$B$200,$A4,Tareas!$G$4:$G$200,"Hecho")/G4,0)</f>
        <v/>
      </c>
    </row>
    <row r="5" ht="33.75" customHeight="1">
      <c r="A5" s="12" t="n">
        <v>5</v>
      </c>
      <c r="B5" s="12" t="inlineStr">
        <is>
          <t>10 - 14 ago</t>
        </is>
      </c>
      <c r="C5" s="12" t="inlineStr">
        <is>
          <t>Fase 1</t>
        </is>
      </c>
      <c r="D5" s="13" t="inlineStr">
        <is>
          <t>FFT-ASM y BLAS bajo interfaz comun</t>
        </is>
      </c>
      <c r="E5" s="13" t="inlineStr">
        <is>
          <t>Dos propagadores verificados</t>
        </is>
      </c>
      <c r="F5" s="13" t="n"/>
      <c r="G5" s="12">
        <f>COUNTIF(Tareas!$B$4:$B$200,$A5)</f>
        <v/>
      </c>
      <c r="H5" s="14">
        <f>IFERROR(COUNTIFS(Tareas!$B$4:$B$200,$A5,Tareas!$G$4:$G$200,"Hecho")/G5,0)</f>
        <v/>
      </c>
    </row>
    <row r="6" ht="33.75" customHeight="1">
      <c r="A6" s="9" t="n">
        <v>6</v>
      </c>
      <c r="B6" s="9" t="inlineStr">
        <is>
          <t>17 - 21 ago</t>
        </is>
      </c>
      <c r="C6" s="9" t="inlineStr">
        <is>
          <t>Fase 1</t>
        </is>
      </c>
      <c r="D6" s="10" t="inlineStr">
        <is>
          <t>MPASM y verificacion analitica</t>
        </is>
      </c>
      <c r="E6" s="10" t="inlineStr">
        <is>
          <t>Objetivo 1 cerrado</t>
        </is>
      </c>
      <c r="F6" s="10" t="n"/>
      <c r="G6" s="9">
        <f>COUNTIF(Tareas!$B$4:$B$200,$A6)</f>
        <v/>
      </c>
      <c r="H6" s="11">
        <f>IFERROR(COUNTIFS(Tareas!$B$4:$B$200,$A6,Tareas!$G$4:$G$200,"Hecho")/G6,0)</f>
        <v/>
      </c>
    </row>
    <row r="7" ht="33.75" customHeight="1">
      <c r="A7" s="12" t="n">
        <v>7</v>
      </c>
      <c r="B7" s="12" t="inlineStr">
        <is>
          <t>24 - 28 ago</t>
        </is>
      </c>
      <c r="C7" s="12" t="inlineStr">
        <is>
          <t>Fase 1 / 3</t>
        </is>
      </c>
      <c r="D7" s="13" t="inlineStr">
        <is>
          <t>Montaje DLHM y parametros reales</t>
        </is>
      </c>
      <c r="E7" s="13" t="inlineStr">
        <is>
          <t>Hoja de parametros del montaje</t>
        </is>
      </c>
      <c r="F7" s="13" t="n"/>
      <c r="G7" s="12">
        <f>COUNTIF(Tareas!$B$4:$B$200,$A7)</f>
        <v/>
      </c>
      <c r="H7" s="14">
        <f>IFERROR(COUNTIFS(Tareas!$B$4:$B$200,$A7,Tareas!$G$4:$G$200,"Hecho")/G7,0)</f>
        <v/>
      </c>
    </row>
    <row r="8" ht="33.75" customHeight="1">
      <c r="A8" s="15" t="n">
        <v>8</v>
      </c>
      <c r="B8" s="15" t="inlineStr">
        <is>
          <t>31 ago - 4 sep</t>
        </is>
      </c>
      <c r="C8" s="15" t="inlineStr">
        <is>
          <t>Hito</t>
        </is>
      </c>
      <c r="D8" s="16" t="inlineStr">
        <is>
          <t>Informe de avance 1</t>
        </is>
      </c>
      <c r="E8" s="16" t="inlineStr">
        <is>
          <t>Exposicion (5 %)</t>
        </is>
      </c>
      <c r="F8" s="16" t="inlineStr">
        <is>
          <t>Informe de avance 1: 31 de agosto</t>
        </is>
      </c>
      <c r="G8" s="15">
        <f>COUNTIF(Tareas!$B$4:$B$200,$A8)</f>
        <v/>
      </c>
      <c r="H8" s="17">
        <f>IFERROR(COUNTIFS(Tareas!$B$4:$B$200,$A8,Tareas!$G$4:$G$200,"Hecho")/G8,0)</f>
        <v/>
      </c>
    </row>
    <row r="9" ht="33.75" customHeight="1">
      <c r="A9" s="18" t="inlineStr">
        <is>
          <t>Receso</t>
        </is>
      </c>
      <c r="B9" s="18" t="inlineStr">
        <is>
          <t>7 - 11 sep</t>
        </is>
      </c>
      <c r="C9" s="18" t="inlineStr">
        <is>
          <t>Receso</t>
        </is>
      </c>
      <c r="D9" s="19" t="inlineStr">
        <is>
          <t>Semana de receso (verificar calendario)</t>
        </is>
      </c>
      <c r="E9" s="19" t="inlineStr">
        <is>
          <t>Colchon del cronograma</t>
        </is>
      </c>
      <c r="F9" s="19" t="n"/>
      <c r="G9" s="18">
        <f>COUNTIF(Tareas!$B$4:$B$200,$A9)</f>
        <v/>
      </c>
      <c r="H9" s="20">
        <f>IFERROR(COUNTIFS(Tareas!$B$4:$B$200,$A9,Tareas!$G$4:$G$200,"Hecho")/G9,0)</f>
        <v/>
      </c>
    </row>
    <row r="10" ht="33.75" customHeight="1">
      <c r="A10" s="9" t="n">
        <v>9</v>
      </c>
      <c r="B10" s="9" t="inlineStr">
        <is>
          <t>14 - 18 sep</t>
        </is>
      </c>
      <c r="C10" s="9" t="inlineStr">
        <is>
          <t>Fase 2</t>
        </is>
      </c>
      <c r="D10" s="10" t="inlineStr">
        <is>
          <t>Iluminacion esferica en el esquema</t>
        </is>
      </c>
      <c r="E10" s="10" t="inlineStr">
        <is>
          <t>Pipeline DLHM validado en simulacion</t>
        </is>
      </c>
      <c r="F10" s="10" t="n"/>
      <c r="G10" s="9">
        <f>COUNTIF(Tareas!$B$4:$B$200,$A10)</f>
        <v/>
      </c>
      <c r="H10" s="11">
        <f>IFERROR(COUNTIFS(Tareas!$B$4:$B$200,$A10,Tareas!$G$4:$G$200,"Hecho")/G10,0)</f>
        <v/>
      </c>
    </row>
    <row r="11" ht="33.75" customHeight="1">
      <c r="A11" s="12" t="n">
        <v>10</v>
      </c>
      <c r="B11" s="12" t="inlineStr">
        <is>
          <t>21 - 25 sep</t>
        </is>
      </c>
      <c r="C11" s="12" t="inlineStr">
        <is>
          <t>Fase 2</t>
        </is>
      </c>
      <c r="D11" s="13" t="inlineStr">
        <is>
          <t>Barrido de parametros y mapas de error</t>
        </is>
      </c>
      <c r="E11" s="13" t="inlineStr">
        <is>
          <t>Objetivo 2 cerrado</t>
        </is>
      </c>
      <c r="F11" s="13" t="n"/>
      <c r="G11" s="12">
        <f>COUNTIF(Tareas!$B$4:$B$200,$A11)</f>
        <v/>
      </c>
      <c r="H11" s="14">
        <f>IFERROR(COUNTIFS(Tareas!$B$4:$B$200,$A11,Tareas!$G$4:$G$200,"Hecho")/G11,0)</f>
        <v/>
      </c>
    </row>
    <row r="12" ht="33.75" customHeight="1">
      <c r="A12" s="9" t="n">
        <v>11</v>
      </c>
      <c r="B12" s="9" t="inlineStr">
        <is>
          <t>28 sep - 2 oct</t>
        </is>
      </c>
      <c r="C12" s="9" t="inlineStr">
        <is>
          <t>Fase 3</t>
        </is>
      </c>
      <c r="D12" s="10" t="inlineStr">
        <is>
          <t>Registro experimental de hologramas</t>
        </is>
      </c>
      <c r="E12" s="10" t="inlineStr">
        <is>
          <t>Dataset documentado</t>
        </is>
      </c>
      <c r="F12" s="10" t="n"/>
      <c r="G12" s="9">
        <f>COUNTIF(Tareas!$B$4:$B$200,$A12)</f>
        <v/>
      </c>
      <c r="H12" s="11">
        <f>IFERROR(COUNTIFS(Tareas!$B$4:$B$200,$A12,Tareas!$G$4:$G$200,"Hecho")/G12,0)</f>
        <v/>
      </c>
    </row>
    <row r="13" ht="33.75" customHeight="1">
      <c r="A13" s="12" t="n">
        <v>12</v>
      </c>
      <c r="B13" s="12" t="inlineStr">
        <is>
          <t>5 - 9 oct</t>
        </is>
      </c>
      <c r="C13" s="12" t="inlineStr">
        <is>
          <t>Fase 4</t>
        </is>
      </c>
      <c r="D13" s="13" t="inlineStr">
        <is>
          <t>Reconstruccion y metricas comparativas</t>
        </is>
      </c>
      <c r="E13" s="13" t="inlineStr">
        <is>
          <t>Tabla comparativa completa</t>
        </is>
      </c>
      <c r="F13" s="13" t="n"/>
      <c r="G13" s="12">
        <f>COUNTIF(Tareas!$B$4:$B$200,$A13)</f>
        <v/>
      </c>
      <c r="H13" s="14">
        <f>IFERROR(COUNTIFS(Tareas!$B$4:$B$200,$A13,Tareas!$G$4:$G$200,"Hecho")/G13,0)</f>
        <v/>
      </c>
    </row>
    <row r="14" ht="33.75" customHeight="1">
      <c r="A14" s="9" t="n">
        <v>13</v>
      </c>
      <c r="B14" s="9" t="inlineStr">
        <is>
          <t>12 - 16 oct</t>
        </is>
      </c>
      <c r="C14" s="9" t="inlineStr">
        <is>
          <t>Fase 4</t>
        </is>
      </c>
      <c r="D14" s="10" t="inlineStr">
        <is>
          <t>Redaccion de resultados y analisis</t>
        </is>
      </c>
      <c r="E14" s="10" t="inlineStr">
        <is>
          <t>Borrador completo al asesor</t>
        </is>
      </c>
      <c r="F14" s="10" t="n"/>
      <c r="G14" s="9">
        <f>COUNTIF(Tareas!$B$4:$B$200,$A14)</f>
        <v/>
      </c>
      <c r="H14" s="11">
        <f>IFERROR(COUNTIFS(Tareas!$B$4:$B$200,$A14,Tareas!$G$4:$G$200,"Hecho")/G14,0)</f>
        <v/>
      </c>
    </row>
    <row r="15" ht="33.75" customHeight="1">
      <c r="A15" s="15" t="n">
        <v>14</v>
      </c>
      <c r="B15" s="15" t="inlineStr">
        <is>
          <t>19 - 23 oct</t>
        </is>
      </c>
      <c r="C15" s="15" t="inlineStr">
        <is>
          <t>Hito</t>
        </is>
      </c>
      <c r="D15" s="16" t="inlineStr">
        <is>
          <t>Informe de avance 2 y correcciones</t>
        </is>
      </c>
      <c r="E15" s="16" t="inlineStr">
        <is>
          <t>Documento completo v1</t>
        </is>
      </c>
      <c r="F15" s="16" t="inlineStr">
        <is>
          <t>Informe de avance 2: 19 de octubre</t>
        </is>
      </c>
      <c r="G15" s="15">
        <f>COUNTIF(Tareas!$B$4:$B$200,$A15)</f>
        <v/>
      </c>
      <c r="H15" s="17">
        <f>IFERROR(COUNTIFS(Tareas!$B$4:$B$200,$A15,Tareas!$G$4:$G$200,"Hecho")/G15,0)</f>
        <v/>
      </c>
    </row>
    <row r="16" ht="33.75" customHeight="1">
      <c r="A16" s="15" t="n">
        <v>15</v>
      </c>
      <c r="B16" s="15" t="inlineStr">
        <is>
          <t>26 - 30 oct</t>
        </is>
      </c>
      <c r="C16" s="15" t="inlineStr">
        <is>
          <t>Cierre</t>
        </is>
      </c>
      <c r="D16" s="16" t="inlineStr">
        <is>
          <t>Revision final y entrega</t>
        </is>
      </c>
      <c r="E16" s="16" t="inlineStr">
        <is>
          <t>Informe final + carta de aval</t>
        </is>
      </c>
      <c r="F16" s="16" t="inlineStr">
        <is>
          <t>ENTREGA FINAL: 30 de octubre</t>
        </is>
      </c>
      <c r="G16" s="15">
        <f>COUNTIF(Tareas!$B$4:$B$200,$A16)</f>
        <v/>
      </c>
      <c r="H16" s="17">
        <f>IFERROR(COUNTIFS(Tareas!$B$4:$B$200,$A16,Tareas!$G$4:$G$200,"Hecho")/G16,0)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tabSelected="1" zoomScaleNormal="100" workbookViewId="0">
      <pane ySplit="3" topLeftCell="A4" activePane="bottomLeft" state="frozen"/>
      <selection pane="bottomLeft" activeCell="D12" sqref="D12"/>
    </sheetView>
  </sheetViews>
  <sheetFormatPr baseColWidth="10" defaultColWidth="8.6640625" defaultRowHeight="14.4"/>
  <cols>
    <col width="7" customWidth="1" min="1" max="1"/>
    <col width="10" customWidth="1" min="2" max="2"/>
    <col width="9" customWidth="1" min="3" max="3"/>
    <col width="62" customWidth="1" min="4" max="4"/>
    <col width="30" customWidth="1" min="5" max="5"/>
    <col width="12" customWidth="1" min="6" max="6"/>
    <col width="14" customWidth="1" min="7" max="8"/>
    <col width="34" customWidth="1" min="9" max="9"/>
  </cols>
  <sheetData>
    <row r="1" ht="21.75" customHeight="1">
      <c r="A1" s="22" t="inlineStr">
        <is>
          <t>Lista de tareas - editar solo la columna Estado</t>
        </is>
      </c>
    </row>
    <row r="3" ht="30" customHeight="1">
      <c r="A3" s="8" t="inlineStr">
        <is>
          <t>ID</t>
        </is>
      </c>
      <c r="B3" s="8" t="inlineStr">
        <is>
          <t>Semana</t>
        </is>
      </c>
      <c r="C3" s="8" t="inlineStr">
        <is>
          <t>Fase</t>
        </is>
      </c>
      <c r="D3" s="8" t="inlineStr">
        <is>
          <t>Tarea</t>
        </is>
      </c>
      <c r="E3" s="8" t="inlineStr">
        <is>
          <t>Entregable</t>
        </is>
      </c>
      <c r="F3" s="8" t="inlineStr">
        <is>
          <t>Prioridad</t>
        </is>
      </c>
      <c r="G3" s="8" t="inlineStr">
        <is>
          <t>Estado</t>
        </is>
      </c>
      <c r="H3" s="8" t="inlineStr">
        <is>
          <t>Fecha limite</t>
        </is>
      </c>
      <c r="I3" s="8" t="inlineStr">
        <is>
          <t>Notas</t>
        </is>
      </c>
    </row>
    <row r="4" ht="25.5" customHeight="1">
      <c r="A4" s="12" t="n">
        <v>1</v>
      </c>
      <c r="B4" s="12" t="n">
        <v>4</v>
      </c>
      <c r="C4" s="12" t="inlineStr">
        <is>
          <t>F1</t>
        </is>
      </c>
      <c r="D4" s="13" t="inlineStr">
        <is>
          <t>Consolidar correcciones y preguntas surgidas en la sustentacion</t>
        </is>
      </c>
      <c r="E4" s="13" t="inlineStr">
        <is>
          <t>Lista de ajustes acordados</t>
        </is>
      </c>
      <c r="F4" s="12" t="inlineStr">
        <is>
          <t>Alta</t>
        </is>
      </c>
      <c r="G4" s="12" t="inlineStr">
        <is>
          <t>En curso</t>
        </is>
      </c>
      <c r="H4" s="12" t="inlineStr">
        <is>
          <t>07/08/2026</t>
        </is>
      </c>
      <c r="I4" s="13" t="inlineStr">
        <is>
          <t>Sigue abierta desde la semana 4, vencio el 07/08. O se cierra, o se convierte en lista concreta de ajustes: es lo que se presenta como respuesta a la sustentacion en el informe de avance 1.</t>
        </is>
      </c>
    </row>
    <row r="5" ht="25.5" customHeight="1">
      <c r="A5" s="12" t="n">
        <v>2</v>
      </c>
      <c r="B5" s="12" t="n">
        <v>4</v>
      </c>
      <c r="C5" s="12" t="inlineStr">
        <is>
          <t>F1</t>
        </is>
      </c>
      <c r="D5" s="13" t="inlineStr">
        <is>
          <t>Clonar repositorio Figshare (Zhao 2020) y montar entorno Python</t>
        </is>
      </c>
      <c r="E5" s="13" t="inlineStr">
        <is>
          <t>Entorno reproducible</t>
        </is>
      </c>
      <c r="F5" s="12" t="inlineStr">
        <is>
          <t>Alta</t>
        </is>
      </c>
      <c r="G5" s="12" t="inlineStr">
        <is>
          <t>Hecho</t>
        </is>
      </c>
      <c r="H5" s="12" t="inlineStr">
        <is>
          <t>07/08/2026</t>
        </is>
      </c>
      <c r="I5" s="13" t="n"/>
    </row>
    <row r="6" ht="25.5" customHeight="1">
      <c r="A6" s="12" t="n">
        <v>3</v>
      </c>
      <c r="B6" s="12" t="n">
        <v>4</v>
      </c>
      <c r="C6" s="12" t="inlineStr">
        <is>
          <t>F1</t>
        </is>
      </c>
      <c r="D6" s="13" t="inlineStr">
        <is>
          <t>Reproducir la Figura 4 del paper con el codigo publicado</t>
        </is>
      </c>
      <c r="E6" s="13" t="inlineStr">
        <is>
          <t>Notebook de reproduccion</t>
        </is>
      </c>
      <c r="F6" s="12" t="inlineStr">
        <is>
          <t>Alta</t>
        </is>
      </c>
      <c r="G6" s="12" t="inlineStr">
        <is>
          <t>Hecho</t>
        </is>
      </c>
      <c r="H6" s="12" t="inlineStr">
        <is>
          <t>07/08/2026</t>
        </is>
      </c>
      <c r="I6" s="13" t="inlineStr">
        <is>
          <t>CERRADA el 23/08 (commit ea3a7a8). scripts/exactitud.py hace un solo barrido de 30 distancias -las siete de la tabla del paper mas una rejilla logaritmica entre ellas- y escribe resultados/exactitud/sam_vs_z.csv y sam_vs_z.png. La curva es la reproduccion de la Figura 4: MPASM entre 31 y 48 dB en todo el rango, FFT-ASM cayendo hasta -1.85 dB y BL-ASM degradandose y recuperandose cuando su mascara empieza a actuar. La vertical de la figura marca los 11.4 m a los que el radio 1/e del haz llena la ventana, que es donde FFT-ASM se desploma. Reproducida con CamposT, no con el codigo publicado: ese camino se cerro en la tarea 4 (port propio) y el contraste contra terceros vive en la tarea 58.</t>
        </is>
      </c>
    </row>
    <row r="7" ht="25.5" customHeight="1">
      <c r="A7" s="12" t="n">
        <v>4</v>
      </c>
      <c r="B7" s="12" t="n">
        <v>4</v>
      </c>
      <c r="C7" s="12" t="inlineStr">
        <is>
          <t>F1</t>
        </is>
      </c>
      <c r="D7" s="13" t="inlineStr">
        <is>
          <t>Documentar discrepancias y decidir si se reutiliza el codigo</t>
        </is>
      </c>
      <c r="E7" s="13" t="inlineStr">
        <is>
          <t>Decision go / no-go</t>
        </is>
      </c>
      <c r="F7" s="12" t="inlineStr">
        <is>
          <t>Alta</t>
        </is>
      </c>
      <c r="G7" s="12" t="inlineStr">
        <is>
          <t>Hecho</t>
        </is>
      </c>
      <c r="H7" s="12" t="inlineStr">
        <is>
          <t>07/08/2026</t>
        </is>
      </c>
      <c r="I7" s="13" t="inlineStr">
        <is>
          <t>Decidido: port propio a CamposT/propagadores.py en vez de reutilizar el codigo publicado. Se corrigio la Ec. (14): el codigo original usa A**2 * B donde el paper dice A**2 + B (ver kf_auto, formula='codigo' reproduce el bug).</t>
        </is>
      </c>
    </row>
    <row r="8" ht="25.5" customHeight="1">
      <c r="A8" s="12" t="n">
        <v>5</v>
      </c>
      <c r="B8" s="12" t="n">
        <v>4</v>
      </c>
      <c r="C8" s="12" t="inlineStr">
        <is>
          <t>F1</t>
        </is>
      </c>
      <c r="D8" s="13" t="inlineStr">
        <is>
          <t>Acordar con el asesor la agenda de reuniones semanales</t>
        </is>
      </c>
      <c r="E8" s="13" t="inlineStr">
        <is>
          <t>Agenda fijada</t>
        </is>
      </c>
      <c r="F8" s="12" t="inlineStr">
        <is>
          <t>Media</t>
        </is>
      </c>
      <c r="G8" s="12" t="inlineStr">
        <is>
          <t>Hecho</t>
        </is>
      </c>
      <c r="H8" s="12" t="inlineStr">
        <is>
          <t>07/08/2026</t>
        </is>
      </c>
      <c r="I8" s="13" t="n"/>
    </row>
    <row r="9" ht="25.5" customHeight="1">
      <c r="A9" s="12" t="n">
        <v>6</v>
      </c>
      <c r="B9" s="12" t="n">
        <v>5</v>
      </c>
      <c r="C9" s="12" t="inlineStr">
        <is>
          <t>F1</t>
        </is>
      </c>
      <c r="D9" s="13" t="inlineStr">
        <is>
          <t>Definir la interfaz comun del modulo (firma unica de propagacion)</t>
        </is>
      </c>
      <c r="E9" s="13" t="inlineStr">
        <is>
          <t>Especificacion de API</t>
        </is>
      </c>
      <c r="F9" s="12" t="inlineStr">
        <is>
          <t>Alta</t>
        </is>
      </c>
      <c r="G9" s="12" t="inlineStr">
        <is>
          <t>Hecho</t>
        </is>
      </c>
      <c r="H9" s="12" t="inlineStr">
        <is>
          <t>14/08/2026</t>
        </is>
      </c>
      <c r="I9" s="13" t="inlineStr">
        <is>
          <t>Hecha. La interfaz comun es pipeline.propagar(U0, delta, lamb, z, metodo, pad, device, dtype) -&gt; (campo, info), uniforme para los tres metodos. Las funciones de bajo nivel conservan su retorno propio a proposito: mpasm devuelve Kf porque es un resultado del metodo, no un detalle de implementacion.</t>
        </is>
      </c>
    </row>
    <row r="10" ht="25.5" customHeight="1">
      <c r="A10" s="12" t="n">
        <v>7</v>
      </c>
      <c r="B10" s="12" t="n">
        <v>5</v>
      </c>
      <c r="C10" s="12" t="inlineStr">
        <is>
          <t>F1</t>
        </is>
      </c>
      <c r="D10" s="13" t="inlineStr">
        <is>
          <t>Implementar FFT-ASM</t>
        </is>
      </c>
      <c r="E10" s="13" t="inlineStr">
        <is>
          <t>Propagador funcional</t>
        </is>
      </c>
      <c r="F10" s="12" t="inlineStr">
        <is>
          <t>Alta</t>
        </is>
      </c>
      <c r="G10" s="12" t="inlineStr">
        <is>
          <t>Hecho</t>
        </is>
      </c>
      <c r="H10" s="12" t="inlineStr">
        <is>
          <t>14/08/2026</t>
        </is>
      </c>
      <c r="I10" s="13" t="inlineStr">
        <is>
          <t>CamposT/propagadores.py, fft_asm(). Revisado el 23/08 (commit c5fd678): aplica la transferencia in situ en vez de materializar H y multiplicar, que pedia dos arrays del tamano del plano de mas. Bit a bit identico, +4 % CPU y +7.6 % GPU.</t>
        </is>
      </c>
    </row>
    <row r="11" ht="25.5" customHeight="1">
      <c r="A11" s="12" t="n">
        <v>8</v>
      </c>
      <c r="B11" s="12" t="n">
        <v>5</v>
      </c>
      <c r="C11" s="12" t="inlineStr">
        <is>
          <t>F1</t>
        </is>
      </c>
      <c r="D11" s="13" t="inlineStr">
        <is>
          <t>Implementar BLAS (espectro angular de banda limitada)</t>
        </is>
      </c>
      <c r="E11" s="13" t="inlineStr">
        <is>
          <t>Propagador funcional</t>
        </is>
      </c>
      <c r="F11" s="12" t="inlineStr">
        <is>
          <t>Alta</t>
        </is>
      </c>
      <c r="G11" s="12" t="inlineStr">
        <is>
          <t>Hecho</t>
        </is>
      </c>
      <c r="H11" s="12" t="inlineStr">
        <is>
          <t>14/08/2026</t>
        </is>
      </c>
      <c r="I11" s="13" t="inlineStr">
        <is>
          <t>CamposT/propagadores.py, blas() - Matsushima &amp; Shimobaba (2009). Revisado el 23/08 (commit c5fd678): el limite de banda es un rectangulo centrado, asi que se anulan las cuatro bandas de fuera por rodajas en vez de construir H, dos meshgrid y una mascara. Bit a bit identico, +8.3 % CPU y +17.4 % GPU, y 1.6 GB menos de picos sobre una malla de 6000x8000.</t>
        </is>
      </c>
    </row>
    <row r="12" ht="25.5" customHeight="1">
      <c r="A12" s="12" t="n">
        <v>9</v>
      </c>
      <c r="B12" s="12" t="n">
        <v>5</v>
      </c>
      <c r="C12" s="12" t="inlineStr">
        <is>
          <t>F1</t>
        </is>
      </c>
      <c r="D12" s="13" t="inlineStr">
        <is>
          <t>Tests unitarios: energia, caso z=0, reversibilidad</t>
        </is>
      </c>
      <c r="E12" s="13" t="inlineStr">
        <is>
          <t>Suite de tests</t>
        </is>
      </c>
      <c r="F12" s="12" t="inlineStr">
        <is>
          <t>Media</t>
        </is>
      </c>
      <c r="G12" s="12" t="inlineStr">
        <is>
          <t>Hecho</t>
        </is>
      </c>
      <c r="H12" s="12" t="inlineStr">
        <is>
          <t>14/08/2026</t>
        </is>
      </c>
      <c r="I12" s="13" t="inlineStr">
        <is>
          <t>tests/test_propagadores.py + tests/conftest.py, 119 casos, verde. Cubre z=0, energia, reversibilidad, MPASM con Kf&gt;1, paridad CPU/GPU, kf_auto y la funcion de transferencia. Validada por mutacion: 6 bugs inyectados, 6 detectados. Correr con: python -m pytest Al 23/08 la suite va por 186 casos en verde, 19 de ellos de retropropagacion (tarea 64). Al 23/08 la suite va por 213 casos en verde. Se suma tests/test_pipeline.py (commit c5fd678): pipeline.py es la puerta de entrada del paquete y no tenia suite propia, solo se comprobaba de refilon.</t>
        </is>
      </c>
    </row>
    <row r="13" ht="25.5" customHeight="1">
      <c r="A13" s="12" t="n">
        <v>10</v>
      </c>
      <c r="B13" s="12" t="n">
        <v>5</v>
      </c>
      <c r="C13" s="12" t="inlineStr">
        <is>
          <t>F1</t>
        </is>
      </c>
      <c r="D13" s="13" t="inlineStr">
        <is>
          <t>Configurar repositorio git y estructura de paquete</t>
        </is>
      </c>
      <c r="E13" s="13" t="inlineStr">
        <is>
          <t>Repo inicializado</t>
        </is>
      </c>
      <c r="F13" s="12" t="inlineStr">
        <is>
          <t>Media</t>
        </is>
      </c>
      <c r="G13" s="12" t="inlineStr">
        <is>
          <t>Hecho</t>
        </is>
      </c>
      <c r="H13" s="12" t="inlineStr">
        <is>
          <t>14/08/2026</t>
        </is>
      </c>
      <c r="I13" s="13" t="inlineStr">
        <is>
          <t>Commit 3ef0cfa: paquete CamposT/ + scripts/ + referencia/ + resultados/. README con estructura y modo de ejecucion.</t>
        </is>
      </c>
    </row>
    <row r="14" ht="25.5" customHeight="1">
      <c r="A14" s="12" t="n">
        <v>11</v>
      </c>
      <c r="B14" s="12" t="n">
        <v>6</v>
      </c>
      <c r="C14" s="12" t="inlineStr">
        <is>
          <t>F1</t>
        </is>
      </c>
      <c r="D14" s="13" t="inlineStr">
        <is>
          <t>Implementar MPASM con parametros s y Kf explicitos</t>
        </is>
      </c>
      <c r="E14" s="13" t="inlineStr">
        <is>
          <t>Propagador funcional</t>
        </is>
      </c>
      <c r="F14" s="12" t="inlineStr">
        <is>
          <t>Alta</t>
        </is>
      </c>
      <c r="G14" s="12" t="inlineStr">
        <is>
          <t>Hecho</t>
        </is>
      </c>
      <c r="H14" s="12" t="inlineStr">
        <is>
          <t>21/08/2026</t>
        </is>
      </c>
      <c r="I14" s="13" t="inlineStr">
        <is>
          <t>Adelantada. CamposT/propagadores.py, mpasm() con s, Kf, r y mag explicitos y kf_auto() para el Kf automatico. Corregido despues, en la semana 6: ver tarea 63 (Kf a z &lt; 0 y guardia de ventana de salida).</t>
        </is>
      </c>
    </row>
    <row r="15" ht="25.5" customHeight="1">
      <c r="A15" s="12" t="n">
        <v>12</v>
      </c>
      <c r="B15" s="12" t="n">
        <v>6</v>
      </c>
      <c r="C15" s="12" t="inlineStr">
        <is>
          <t>F1</t>
        </is>
      </c>
      <c r="D15" s="13" t="inlineStr">
        <is>
          <t>Implementar Rayleigh-Sommerfeld 1D como referencia numerica</t>
        </is>
      </c>
      <c r="E15" s="13" t="inlineStr">
        <is>
          <t>Referencia de verificacion</t>
        </is>
      </c>
      <c r="F15" s="12" t="inlineStr">
        <is>
          <t>Alta</t>
        </is>
      </c>
      <c r="G15" s="12" t="inlineStr">
        <is>
          <t>Hecho</t>
        </is>
      </c>
      <c r="H15" s="12" t="inlineStr">
        <is>
          <t>21/08/2026</t>
        </is>
      </c>
      <c r="I15" s="13" t="inlineStr">
        <is>
          <t>Hecha. CamposT/referencias.py, rs1_radial(): R-S I exacta reducida a 1-D por simetria circular (el paper dice que reduce el calculo 2-D a 1-D pero no como; es reescribir la integral en polares, sin aproximar). O(N_rho^2 N_phi) en vez de O(N^4): la fuerza bruta de pyLHM tardaria 1-2 h en la malla de la Tabla 1. Contrastada contra esa fuerza bruta y 19x mas exacta que ella (1.0e-3 frente a 1.9e-2 contra la analitica). No es paraxial, asi que su diferencia con gauss_analytic mide la paraxialidad. 11 tests, mutacion 8/8.</t>
        </is>
      </c>
    </row>
    <row r="16" ht="25.5" customHeight="1">
      <c r="A16" s="12" t="n">
        <v>13</v>
      </c>
      <c r="B16" s="12" t="n">
        <v>6</v>
      </c>
      <c r="C16" s="12" t="inlineStr">
        <is>
          <t>F1</t>
        </is>
      </c>
      <c r="D16" s="13" t="inlineStr">
        <is>
          <t>Verificacion contra propagacion analitica de haz gaussiano</t>
        </is>
      </c>
      <c r="E16" s="13" t="inlineStr">
        <is>
          <t>Curvas de error</t>
        </is>
      </c>
      <c r="F16" s="12" t="inlineStr">
        <is>
          <t>Alta</t>
        </is>
      </c>
      <c r="G16" s="12" t="inlineStr">
        <is>
          <t>Hecho</t>
        </is>
      </c>
      <c r="H16" s="12" t="inlineStr">
        <is>
          <t>21/08/2026</t>
        </is>
      </c>
      <c r="I16" s="13" t="inlineStr">
        <is>
          <t>CERRADA el 23/08 (commit ea3a7a8). Era el mismo entregable que la tarea 3 y sale de la misma figura: las curvas de error contra el gaussiano analitico, con SAM y no con RMS. Quedan las DOS referencias independientes -gauss_analytic, paraxial, y rs1_radial, no paraxial- mas la metrica del paper y su barrido graficado.</t>
        </is>
      </c>
    </row>
    <row r="17" ht="25.5" customHeight="1">
      <c r="A17" s="12" t="n">
        <v>14</v>
      </c>
      <c r="B17" s="12" t="n">
        <v>6</v>
      </c>
      <c r="C17" s="12" t="inlineStr">
        <is>
          <t>F1</t>
        </is>
      </c>
      <c r="D17" s="13" t="inlineStr">
        <is>
          <t>Implementar metrica SAM y generar curvas SAM vs z</t>
        </is>
      </c>
      <c r="E17" s="13" t="inlineStr">
        <is>
          <t>Graficas SAM</t>
        </is>
      </c>
      <c r="F17" s="12" t="inlineStr">
        <is>
          <t>Alta</t>
        </is>
      </c>
      <c r="G17" s="12" t="inlineStr">
        <is>
          <t>Hecho</t>
        </is>
      </c>
      <c r="H17" s="12" t="inlineStr">
        <is>
          <t>21/08/2026</t>
        </is>
      </c>
      <c r="I17" s="13" t="inlineStr">
        <is>
          <t>Hecha. CamposT/metricas.py, sam(). ERRATA ENCONTRADA en la Ec. (16): el denominador impreso es integral I_ref y tiene que ser integral I_ref^2. Con la impresa, un campo identico a su referencia da 0.365 dB en vez de infinito y el SAM queda bajo 2.5 dB para todo, o sea que el paper no habria podido generar su propia Figura 4. Segunda errata, tras el A^2*B de la Ec. (14). sam(formula='literal') reproduce la impresa. Al 23/08 su entregable -las graficas SAM- ya existe de verdad: resultados/exactitud/sam_vs_z.png (tarea 3). Y la metrica se endurecio (commit 61e7e1a) contra tres casos degenerados que devolvian un numero creible: un campo nulo daba +inf, o sea el mejor valor posible, porque la Ec. (15) queda 0/0 y la rama del residuo no miraba el numerador; una referencia nula daba NaN con un aviso de NumPy; y dos mallas distintas se difundian en silencio, que es facil de encontrarse porque rs1_radial devuelve perfiles radiales. 15 tests.</t>
        </is>
      </c>
    </row>
    <row r="18" ht="25.5" customHeight="1">
      <c r="A18" s="12" t="n">
        <v>15</v>
      </c>
      <c r="B18" s="12" t="n">
        <v>6</v>
      </c>
      <c r="C18" s="12" t="inlineStr">
        <is>
          <t>F1</t>
        </is>
      </c>
      <c r="D18" s="13" t="inlineStr">
        <is>
          <t>Redactar seccion de metodologia: implementacion (Obj. 1)</t>
        </is>
      </c>
      <c r="E18" s="13" t="inlineStr">
        <is>
          <t>Borrador de seccion</t>
        </is>
      </c>
      <c r="F18" s="12" t="inlineStr">
        <is>
          <t>Media</t>
        </is>
      </c>
      <c r="G18" s="12" t="inlineStr">
        <is>
          <t>Pendiente</t>
        </is>
      </c>
      <c r="H18" s="12" t="inlineStr">
        <is>
          <t>21/08/2026</t>
        </is>
      </c>
      <c r="I18" s="13" t="inlineStr">
        <is>
          <t>Sin empezar, vencida el 21/08. Es el insumo directo de las diapositivas del avance 1 (tarea 19): el material ya esta en el README y en los docstrings del paquete, falta pasarlo a texto de tesis.</t>
        </is>
      </c>
    </row>
    <row r="19" ht="25.5" customHeight="1">
      <c r="A19" s="12" t="n">
        <v>16</v>
      </c>
      <c r="B19" s="12" t="n">
        <v>7</v>
      </c>
      <c r="C19" s="12" t="inlineStr">
        <is>
          <t>F3</t>
        </is>
      </c>
      <c r="D19" s="13" t="inlineStr">
        <is>
          <t>Sesion de familiarizacion con el montaje DLHM</t>
        </is>
      </c>
      <c r="E19" s="13" t="inlineStr">
        <is>
          <t>Bitacora de laboratorio</t>
        </is>
      </c>
      <c r="F19" s="12" t="inlineStr">
        <is>
          <t>Alta</t>
        </is>
      </c>
      <c r="G19" s="12" t="inlineStr">
        <is>
          <t>Pendiente</t>
        </is>
      </c>
      <c r="H19" s="12" t="inlineStr">
        <is>
          <t>28/08/2026</t>
        </is>
      </c>
      <c r="I19" s="13" t="n"/>
    </row>
    <row r="20" ht="25.5" customHeight="1">
      <c r="A20" s="12" t="n">
        <v>17</v>
      </c>
      <c r="B20" s="12" t="n">
        <v>7</v>
      </c>
      <c r="C20" s="12" t="inlineStr">
        <is>
          <t>F3</t>
        </is>
      </c>
      <c r="D20" s="13" t="inlineStr">
        <is>
          <t>Levantar parametros reales: lambda, pitch, sensor, L, z, NA</t>
        </is>
      </c>
      <c r="E20" s="13" t="inlineStr">
        <is>
          <t>Hoja de parametros</t>
        </is>
      </c>
      <c r="F20" s="12" t="inlineStr">
        <is>
          <t>Alta</t>
        </is>
      </c>
      <c r="G20" s="12" t="inlineStr">
        <is>
          <t>Pendiente</t>
        </is>
      </c>
      <c r="H20" s="12" t="inlineStr">
        <is>
          <t>28/08/2026</t>
        </is>
      </c>
      <c r="I20" s="13" t="inlineStr">
        <is>
          <t>Sin estos parametros la Fase 2 (semanas 9 y 10) arranca simulando sobre valores inventados. Es la dependencia mas critica de la semana 7.</t>
        </is>
      </c>
    </row>
    <row r="21" ht="25.5" customHeight="1">
      <c r="A21" s="12" t="n">
        <v>18</v>
      </c>
      <c r="B21" s="12" t="n">
        <v>7</v>
      </c>
      <c r="C21" s="12" t="inlineStr">
        <is>
          <t>F3</t>
        </is>
      </c>
      <c r="D21" s="13" t="inlineStr">
        <is>
          <t>Reservar tiempos de laboratorio para las semanas 9 a 11</t>
        </is>
      </c>
      <c r="E21" s="13" t="inlineStr">
        <is>
          <t>Reserva confirmada</t>
        </is>
      </c>
      <c r="F21" s="12" t="inlineStr">
        <is>
          <t>Alta</t>
        </is>
      </c>
      <c r="G21" s="12" t="inlineStr">
        <is>
          <t>Pendiente</t>
        </is>
      </c>
      <c r="H21" s="12" t="inlineStr">
        <is>
          <t>28/08/2026</t>
        </is>
      </c>
      <c r="I21" s="13" t="inlineStr">
        <is>
          <t>Depende de terceros: pedirla el lunes 24, no al final de la semana. Las semanas 9 a 11 son las unicas ventanas de laboratorio del cronograma.</t>
        </is>
      </c>
    </row>
    <row r="22" ht="25.5" customHeight="1">
      <c r="A22" s="12" t="n">
        <v>19</v>
      </c>
      <c r="B22" s="12" t="n">
        <v>7</v>
      </c>
      <c r="C22" s="12" t="inlineStr">
        <is>
          <t>F1</t>
        </is>
      </c>
      <c r="D22" s="13" t="inlineStr">
        <is>
          <t>Preparar diapositivas del informe de avance 1</t>
        </is>
      </c>
      <c r="E22" s="13" t="inlineStr">
        <is>
          <t>Presentacion</t>
        </is>
      </c>
      <c r="F22" s="12" t="inlineStr">
        <is>
          <t>Alta</t>
        </is>
      </c>
      <c r="G22" s="12" t="inlineStr">
        <is>
          <t>Pendiente</t>
        </is>
      </c>
      <c r="H22" s="12" t="inlineStr">
        <is>
          <t>28/08/2026</t>
        </is>
      </c>
      <c r="I22" s="13" t="n"/>
    </row>
    <row r="23" ht="25.5" customHeight="1">
      <c r="A23" s="12" t="n">
        <v>20</v>
      </c>
      <c r="B23" s="12" t="n">
        <v>7</v>
      </c>
      <c r="C23" s="12" t="inlineStr">
        <is>
          <t>F1</t>
        </is>
      </c>
      <c r="D23" s="13" t="inlineStr">
        <is>
          <t>Revision previa del avance con el asesor</t>
        </is>
      </c>
      <c r="E23" s="13" t="inlineStr">
        <is>
          <t>Visto bueno del asesor</t>
        </is>
      </c>
      <c r="F23" s="12" t="inlineStr">
        <is>
          <t>Media</t>
        </is>
      </c>
      <c r="G23" s="12" t="inlineStr">
        <is>
          <t>Pendiente</t>
        </is>
      </c>
      <c r="H23" s="12" t="inlineStr">
        <is>
          <t>28/08/2026</t>
        </is>
      </c>
      <c r="I23" s="13" t="n"/>
    </row>
    <row r="24" ht="25.5" customHeight="1">
      <c r="A24" s="15" t="n">
        <v>21</v>
      </c>
      <c r="B24" s="15" t="n">
        <v>8</v>
      </c>
      <c r="C24" s="15" t="inlineStr">
        <is>
          <t>HITO</t>
        </is>
      </c>
      <c r="D24" s="16" t="inlineStr">
        <is>
          <t>Presentar informe de avance 1 (31 de agosto)</t>
        </is>
      </c>
      <c r="E24" s="16" t="inlineStr">
        <is>
          <t>Exposicion evaluada</t>
        </is>
      </c>
      <c r="F24" s="15" t="inlineStr">
        <is>
          <t>Alta</t>
        </is>
      </c>
      <c r="G24" s="15" t="inlineStr">
        <is>
          <t>Pendiente</t>
        </is>
      </c>
      <c r="H24" s="15" t="inlineStr">
        <is>
          <t>31/08/2026</t>
        </is>
      </c>
      <c r="I24" s="16" t="n"/>
    </row>
    <row r="25" ht="25.5" customHeight="1">
      <c r="A25" s="15" t="n">
        <v>22</v>
      </c>
      <c r="B25" s="15" t="n">
        <v>8</v>
      </c>
      <c r="C25" s="15" t="inlineStr">
        <is>
          <t>HITO</t>
        </is>
      </c>
      <c r="D25" s="16" t="inlineStr">
        <is>
          <t>Registrar retroalimentacion y ajustar el plan</t>
        </is>
      </c>
      <c r="E25" s="16" t="inlineStr">
        <is>
          <t>Plan actualizado</t>
        </is>
      </c>
      <c r="F25" s="15" t="inlineStr">
        <is>
          <t>Media</t>
        </is>
      </c>
      <c r="G25" s="15" t="inlineStr">
        <is>
          <t>Pendiente</t>
        </is>
      </c>
      <c r="H25" s="15" t="inlineStr">
        <is>
          <t>31/08/2026</t>
        </is>
      </c>
      <c r="I25" s="16" t="n"/>
    </row>
    <row r="26" ht="25.5" customHeight="1">
      <c r="A26" s="12" t="n">
        <v>23</v>
      </c>
      <c r="B26" s="12" t="inlineStr">
        <is>
          <t>Receso</t>
        </is>
      </c>
      <c r="C26" s="12" t="inlineStr">
        <is>
          <t>BUF</t>
        </is>
      </c>
      <c r="D26" s="13" t="inlineStr">
        <is>
          <t>Semana de receso: recuperar tareas atrasadas o lectura pendiente</t>
        </is>
      </c>
      <c r="E26" s="13" t="inlineStr">
        <is>
          <t>Colchon del cronograma</t>
        </is>
      </c>
      <c r="F26" s="12" t="inlineStr">
        <is>
          <t>Baja</t>
        </is>
      </c>
      <c r="G26" s="12" t="inlineStr">
        <is>
          <t>Pendiente</t>
        </is>
      </c>
      <c r="H26" s="12" t="inlineStr">
        <is>
          <t>11/09/2026</t>
        </is>
      </c>
      <c r="I26" s="13" t="n"/>
    </row>
    <row r="27" ht="25.5" customHeight="1">
      <c r="A27" s="12" t="n">
        <v>24</v>
      </c>
      <c r="B27" s="12" t="n">
        <v>9</v>
      </c>
      <c r="C27" s="12" t="inlineStr">
        <is>
          <t>F2</t>
        </is>
      </c>
      <c r="D27" s="13" t="inlineStr">
        <is>
          <t>Formular la adaptacion a iluminacion esferica divergente</t>
        </is>
      </c>
      <c r="E27" s="13" t="inlineStr">
        <is>
          <t>Desarrollo teorico</t>
        </is>
      </c>
      <c r="F27" s="12" t="inlineStr">
        <is>
          <t>Alta</t>
        </is>
      </c>
      <c r="G27" s="12" t="inlineStr">
        <is>
          <t>En curso</t>
        </is>
      </c>
      <c r="H27" s="12" t="inlineStr">
        <is>
          <t>18/09/2026</t>
        </is>
      </c>
      <c r="I27" s="13" t="inlineStr">
        <is>
          <t>Adelantada. figura_escenario.py (commit c6963d1) fija la primitiva: la lente f = -300 mm de la Tabla 1, aplicada sobre la cintura, deja el haz con R = 300 mm y la cintura intacta, o sea un pinhole virtual. Se modela el frente esferico divergente, no la lente. Falta pasar de la figura al desarrollo escrito.</t>
        </is>
      </c>
    </row>
    <row r="28" ht="25.5" customHeight="1">
      <c r="A28" s="12" t="n">
        <v>25</v>
      </c>
      <c r="B28" s="12" t="n">
        <v>9</v>
      </c>
      <c r="C28" s="12" t="inlineStr">
        <is>
          <t>F2</t>
        </is>
      </c>
      <c r="D28" s="13" t="inlineStr">
        <is>
          <t>Implementar compensacion de fase y magnificacion geometrica</t>
        </is>
      </c>
      <c r="E28" s="13" t="inlineStr">
        <is>
          <t>Codigo funcional</t>
        </is>
      </c>
      <c r="F28" s="12" t="inlineStr">
        <is>
          <t>Alta</t>
        </is>
      </c>
      <c r="G28" s="12" t="inlineStr">
        <is>
          <t>En curso</t>
        </is>
      </c>
      <c r="H28" s="12" t="inlineStr">
        <is>
          <t>18/09/2026</t>
        </is>
      </c>
      <c r="I28" s="13" t="inlineStr">
        <is>
          <t>La magnificacion geometrica ya existe: parametro mag de mpasm (r1, r2 de las Ecs. (7)-(8)), verificado en figura_escenario.py con malla de salida 6x. Falta la compensacion de fase de la iluminacion divergente.</t>
        </is>
      </c>
    </row>
    <row r="29" ht="25.5" customHeight="1">
      <c r="A29" s="12" t="n">
        <v>26</v>
      </c>
      <c r="B29" s="12" t="n">
        <v>9</v>
      </c>
      <c r="C29" s="12" t="inlineStr">
        <is>
          <t>F2</t>
        </is>
      </c>
      <c r="D29" s="13" t="inlineStr">
        <is>
          <t>Montar el pipeline de reconstruccion DLHM con los 4 propagadores</t>
        </is>
      </c>
      <c r="E29" s="13" t="inlineStr">
        <is>
          <t>Pipeline unificado</t>
        </is>
      </c>
      <c r="F29" s="12" t="inlineStr">
        <is>
          <t>Alta</t>
        </is>
      </c>
      <c r="G29" s="12" t="inlineStr">
        <is>
          <t>En curso</t>
        </is>
      </c>
      <c r="H29" s="12" t="inlineStr">
        <is>
          <t>18/09/2026</t>
        </is>
      </c>
      <c r="I29" s="13" t="inlineStr">
        <is>
          <t>Empezada por su mitad general: CamposT/retropropagacion.py (tarea 64) ya reconstruye sobre un barrido de z con los tres propagadores del paquete, pero asume iluminacion colimada. Falta lo especifico de DLHM: la fuente puntual divergente (magnificacion M = L/z y distancia efectiva, tarea 24) y el cuarto propagador.</t>
        </is>
      </c>
    </row>
    <row r="30" ht="25.5" customHeight="1">
      <c r="A30" s="12" t="n">
        <v>27</v>
      </c>
      <c r="B30" s="12" t="n">
        <v>9</v>
      </c>
      <c r="C30" s="12" t="inlineStr">
        <is>
          <t>F2</t>
        </is>
      </c>
      <c r="D30" s="13" t="inlineStr">
        <is>
          <t>Validar con holograma simulado de muestra sintetica</t>
        </is>
      </c>
      <c r="E30" s="13" t="inlineStr">
        <is>
          <t>Reconstruccion simulada</t>
        </is>
      </c>
      <c r="F30" s="12" t="inlineStr">
        <is>
          <t>Alta</t>
        </is>
      </c>
      <c r="G30" s="12" t="inlineStr">
        <is>
          <t>En curso</t>
        </is>
      </c>
      <c r="H30" s="12" t="inlineStr">
        <is>
          <t>18/09/2026</t>
        </is>
      </c>
      <c r="I30" s="13" t="inlineStr">
        <is>
          <t>ADELANTADA (era semana 9). Validacion de extremo a extremo sobre DLHM-model: holograma simulado con verdad-terreno conocida, retropropagado con MPASM. La fase reconstruida a la distancia nominal devuelve el target con los grupos de barras USAF y sus numeros legibles, sin ajustar parametros. Dos lecciones: el caso cae FUERA del rango de FFT-ASM (z_lim = 6.6 mm frente a z = 24 mm), y el criterio de autofoco depende del tipo de objeto (en fase hay que MINIMIZAR la varianza de amplitud, no maximizar nitidez). Falta versionarlo como scripts/reconstruccion_dlhm.py. Al 23/08 la maquinaria de retropropagacion ya esta versionada (tarea 64), asi que lo que queda es rehacer esa validacion llamando al paquete en vez del script suelto.</t>
        </is>
      </c>
    </row>
    <row r="31" ht="25.5" customHeight="1">
      <c r="A31" s="12" t="n">
        <v>28</v>
      </c>
      <c r="B31" s="12" t="n">
        <v>9</v>
      </c>
      <c r="C31" s="12" t="inlineStr">
        <is>
          <t>F2</t>
        </is>
      </c>
      <c r="D31" s="13" t="inlineStr">
        <is>
          <t>Redactar seccion: propagacion bajo iluminacion esferica</t>
        </is>
      </c>
      <c r="E31" s="13" t="inlineStr">
        <is>
          <t>Borrador de seccion</t>
        </is>
      </c>
      <c r="F31" s="12" t="inlineStr">
        <is>
          <t>Media</t>
        </is>
      </c>
      <c r="G31" s="12" t="inlineStr">
        <is>
          <t>Pendiente</t>
        </is>
      </c>
      <c r="H31" s="12" t="inlineStr">
        <is>
          <t>18/09/2026</t>
        </is>
      </c>
      <c r="I31" s="13" t="n"/>
    </row>
    <row r="32" ht="25.5" customHeight="1">
      <c r="A32" s="12" t="n">
        <v>29</v>
      </c>
      <c r="B32" s="12" t="n">
        <v>10</v>
      </c>
      <c r="C32" s="12" t="inlineStr">
        <is>
          <t>F2</t>
        </is>
      </c>
      <c r="D32" s="13" t="inlineStr">
        <is>
          <t>Definir la malla del barrido de parametros (z, NA, s, Kf)</t>
        </is>
      </c>
      <c r="E32" s="13" t="inlineStr">
        <is>
          <t>Diseno del barrido</t>
        </is>
      </c>
      <c r="F32" s="12" t="inlineStr">
        <is>
          <t>Alta</t>
        </is>
      </c>
      <c r="G32" s="12" t="inlineStr">
        <is>
          <t>Pendiente</t>
        </is>
      </c>
      <c r="H32" s="12" t="inlineStr">
        <is>
          <t>25/09/2026</t>
        </is>
      </c>
      <c r="I32" s="13" t="n"/>
    </row>
    <row r="33" ht="25.5" customHeight="1">
      <c r="A33" s="12" t="n">
        <v>30</v>
      </c>
      <c r="B33" s="12" t="n">
        <v>10</v>
      </c>
      <c r="C33" s="12" t="inlineStr">
        <is>
          <t>F2</t>
        </is>
      </c>
      <c r="D33" s="13" t="inlineStr">
        <is>
          <t>Ejecutar el barrido y generar los mapas de error</t>
        </is>
      </c>
      <c r="E33" s="13" t="inlineStr">
        <is>
          <t>Mapas de validez</t>
        </is>
      </c>
      <c r="F33" s="12" t="inlineStr">
        <is>
          <t>Alta</t>
        </is>
      </c>
      <c r="G33" s="12" t="inlineStr">
        <is>
          <t>Pendiente</t>
        </is>
      </c>
      <c r="H33" s="12" t="inlineStr">
        <is>
          <t>25/09/2026</t>
        </is>
      </c>
      <c r="I33" s="13" t="n"/>
    </row>
    <row r="34" ht="25.5" customHeight="1">
      <c r="A34" s="12" t="n">
        <v>31</v>
      </c>
      <c r="B34" s="12" t="n">
        <v>10</v>
      </c>
      <c r="C34" s="12" t="inlineStr">
        <is>
          <t>F2</t>
        </is>
      </c>
      <c r="D34" s="13" t="inlineStr">
        <is>
          <t>Derivar el criterio operativo de seleccion de s y Kf</t>
        </is>
      </c>
      <c r="E34" s="13" t="inlineStr">
        <is>
          <t>Criterio documentado</t>
        </is>
      </c>
      <c r="F34" s="12" t="inlineStr">
        <is>
          <t>Alta</t>
        </is>
      </c>
      <c r="G34" s="12" t="inlineStr">
        <is>
          <t>En curso</t>
        </is>
      </c>
      <c r="H34" s="12" t="inlineStr">
        <is>
          <t>25/09/2026</t>
        </is>
      </c>
      <c r="I34" s="13" t="inlineStr">
        <is>
          <t>Primer criterio duro ya derivado, y metido en el codigo en vez de solo documentado: r*mag &lt;= s*Kf (mpasm._comprobar_ventana, tarea 63). Sale de que el espectro, muestreado cada 1/(s*N*delta*Kf), describe un campo que se repite cada s*N*delta*Kf, mientras la malla de salida abarca r*N*delta*mag. Falta el criterio de eleccion de s y Kf frente a z y NA, que es lo que dara el barrido de la tarea 30.</t>
        </is>
      </c>
    </row>
    <row r="35" ht="25.5" customHeight="1">
      <c r="A35" s="12" t="n">
        <v>32</v>
      </c>
      <c r="B35" s="12" t="n">
        <v>10</v>
      </c>
      <c r="C35" s="12" t="inlineStr">
        <is>
          <t>F2</t>
        </is>
      </c>
      <c r="D35" s="13" t="inlineStr">
        <is>
          <t>Contrastar MPASM y CZT termino a termino</t>
        </is>
      </c>
      <c r="E35" s="13" t="inlineStr">
        <is>
          <t>Nota tecnica</t>
        </is>
      </c>
      <c r="F35" s="12" t="inlineStr">
        <is>
          <t>Media</t>
        </is>
      </c>
      <c r="G35" s="12" t="inlineStr">
        <is>
          <t>En curso</t>
        </is>
      </c>
      <c r="H35" s="12" t="inlineStr">
        <is>
          <t>25/09/2026</t>
        </is>
      </c>
      <c r="I35" s="13" t="inlineStr">
        <is>
          <t>Contraste parcial hecho: scripts/contraste_referencias.py compara CamposT contra pyDHM (angularSpectrum y bluestein/CZT). fft_asm coincide con pyDHM.angularSpectrum a 1e-8. Falta el contraste termino a termino MPASM vs CZT. Se suma scripts/retro_fft_angular.py: la ida y vuelta con el angularSpectrum de pyDHM tal cual, en una sola pieza y sin importar CamposT, como contraste independiente del paquete. Deja medidos dos defectos del original: dfx y dfy cruzados (irrelevante en malla cuadrada, 2.95e-1 de error contra el gaussiano analitico en malla rectangular) y las evanescentes dejadas decaer, que al RETROPROPAGAR crecen en vez de decaer.</t>
        </is>
      </c>
    </row>
    <row r="36" ht="25.5" customHeight="1">
      <c r="A36" s="12" t="n">
        <v>33</v>
      </c>
      <c r="B36" s="12" t="n">
        <v>10</v>
      </c>
      <c r="C36" s="12" t="inlineStr">
        <is>
          <t>F2</t>
        </is>
      </c>
      <c r="D36" s="13" t="inlineStr">
        <is>
          <t>Redactar seccion: calibracion numerica (Obj. 2)</t>
        </is>
      </c>
      <c r="E36" s="13" t="inlineStr">
        <is>
          <t>Borrador de seccion</t>
        </is>
      </c>
      <c r="F36" s="12" t="inlineStr">
        <is>
          <t>Media</t>
        </is>
      </c>
      <c r="G36" s="12" t="inlineStr">
        <is>
          <t>Pendiente</t>
        </is>
      </c>
      <c r="H36" s="12" t="inlineStr">
        <is>
          <t>25/09/2026</t>
        </is>
      </c>
      <c r="I36" s="13" t="n"/>
    </row>
    <row r="37" ht="25.5" customHeight="1">
      <c r="A37" s="12" t="n">
        <v>34</v>
      </c>
      <c r="B37" s="12" t="n">
        <v>11</v>
      </c>
      <c r="C37" s="12" t="inlineStr">
        <is>
          <t>F3</t>
        </is>
      </c>
      <c r="D37" s="13" t="inlineStr">
        <is>
          <t>Alineacion del montaje y verificacion de estabilidad</t>
        </is>
      </c>
      <c r="E37" s="13" t="inlineStr">
        <is>
          <t>Montaje alineado</t>
        </is>
      </c>
      <c r="F37" s="12" t="inlineStr">
        <is>
          <t>Alta</t>
        </is>
      </c>
      <c r="G37" s="12" t="inlineStr">
        <is>
          <t>Pendiente</t>
        </is>
      </c>
      <c r="H37" s="12" t="inlineStr">
        <is>
          <t>02/10/2026</t>
        </is>
      </c>
      <c r="I37" s="13" t="n"/>
    </row>
    <row r="38" ht="25.5" customHeight="1">
      <c r="A38" s="12" t="n">
        <v>35</v>
      </c>
      <c r="B38" s="12" t="n">
        <v>11</v>
      </c>
      <c r="C38" s="12" t="inlineStr">
        <is>
          <t>F3</t>
        </is>
      </c>
      <c r="D38" s="13" t="inlineStr">
        <is>
          <t>Registro de hologramas del target USAF 1951 a dos o mas magnificaciones</t>
        </is>
      </c>
      <c r="E38" s="13" t="inlineStr">
        <is>
          <t>Hologramas USAF</t>
        </is>
      </c>
      <c r="F38" s="12" t="inlineStr">
        <is>
          <t>Alta</t>
        </is>
      </c>
      <c r="G38" s="12" t="inlineStr">
        <is>
          <t>Pendiente</t>
        </is>
      </c>
      <c r="H38" s="12" t="inlineStr">
        <is>
          <t>02/10/2026</t>
        </is>
      </c>
      <c r="I38" s="13" t="n"/>
    </row>
    <row r="39" ht="25.5" customHeight="1">
      <c r="A39" s="12" t="n">
        <v>36</v>
      </c>
      <c r="B39" s="12" t="n">
        <v>11</v>
      </c>
      <c r="C39" s="12" t="inlineStr">
        <is>
          <t>F3</t>
        </is>
      </c>
      <c r="D39" s="13" t="inlineStr">
        <is>
          <t>Registro de muestra micrometrica o biologica</t>
        </is>
      </c>
      <c r="E39" s="13" t="inlineStr">
        <is>
          <t>Hologramas de muestra</t>
        </is>
      </c>
      <c r="F39" s="12" t="inlineStr">
        <is>
          <t>Media</t>
        </is>
      </c>
      <c r="G39" s="12" t="inlineStr">
        <is>
          <t>Pendiente</t>
        </is>
      </c>
      <c r="H39" s="12" t="inlineStr">
        <is>
          <t>02/10/2026</t>
        </is>
      </c>
      <c r="I39" s="13" t="n"/>
    </row>
    <row r="40" ht="25.5" customHeight="1">
      <c r="A40" s="12" t="n">
        <v>37</v>
      </c>
      <c r="B40" s="12" t="n">
        <v>11</v>
      </c>
      <c r="C40" s="12" t="inlineStr">
        <is>
          <t>F3</t>
        </is>
      </c>
      <c r="D40" s="13" t="inlineStr">
        <is>
          <t>Capturar referencias sin muestra y ruido de fondo</t>
        </is>
      </c>
      <c r="E40" s="13" t="inlineStr">
        <is>
          <t>Imagenes de referencia</t>
        </is>
      </c>
      <c r="F40" s="12" t="inlineStr">
        <is>
          <t>Alta</t>
        </is>
      </c>
      <c r="G40" s="12" t="inlineStr">
        <is>
          <t>Pendiente</t>
        </is>
      </c>
      <c r="H40" s="12" t="inlineStr">
        <is>
          <t>02/10/2026</t>
        </is>
      </c>
      <c r="I40" s="13" t="n"/>
    </row>
    <row r="41" ht="25.5" customHeight="1">
      <c r="A41" s="12" t="n">
        <v>38</v>
      </c>
      <c r="B41" s="12" t="n">
        <v>11</v>
      </c>
      <c r="C41" s="12" t="inlineStr">
        <is>
          <t>F3</t>
        </is>
      </c>
      <c r="D41" s="13" t="inlineStr">
        <is>
          <t>Organizar el dataset con metadatos y respaldo</t>
        </is>
      </c>
      <c r="E41" s="13" t="inlineStr">
        <is>
          <t>Dataset documentado</t>
        </is>
      </c>
      <c r="F41" s="12" t="inlineStr">
        <is>
          <t>Alta</t>
        </is>
      </c>
      <c r="G41" s="12" t="inlineStr">
        <is>
          <t>Pendiente</t>
        </is>
      </c>
      <c r="H41" s="12" t="inlineStr">
        <is>
          <t>02/10/2026</t>
        </is>
      </c>
      <c r="I41" s="13" t="n"/>
    </row>
    <row r="42" ht="25.5" customHeight="1">
      <c r="A42" s="12" t="n">
        <v>39</v>
      </c>
      <c r="B42" s="12" t="n">
        <v>12</v>
      </c>
      <c r="C42" s="12" t="inlineStr">
        <is>
          <t>F4</t>
        </is>
      </c>
      <c r="D42" s="13" t="inlineStr">
        <is>
          <t>Reconstruir todo el dataset con los 4 propagadores</t>
        </is>
      </c>
      <c r="E42" s="13" t="inlineStr">
        <is>
          <t>Reconstrucciones completas</t>
        </is>
      </c>
      <c r="F42" s="12" t="inlineStr">
        <is>
          <t>Alta</t>
        </is>
      </c>
      <c r="G42" s="12" t="inlineStr">
        <is>
          <t>Pendiente</t>
        </is>
      </c>
      <c r="H42" s="12" t="inlineStr">
        <is>
          <t>09/10/2026</t>
        </is>
      </c>
      <c r="I42" s="13" t="n"/>
    </row>
    <row r="43" ht="25.5" customHeight="1">
      <c r="A43" s="12" t="n">
        <v>40</v>
      </c>
      <c r="B43" s="12" t="n">
        <v>12</v>
      </c>
      <c r="C43" s="12" t="inlineStr">
        <is>
          <t>F4</t>
        </is>
      </c>
      <c r="D43" s="13" t="inlineStr">
        <is>
          <t>Medir resolucion lateral efectiva sobre el target USAF</t>
        </is>
      </c>
      <c r="E43" s="13" t="inlineStr">
        <is>
          <t>Tabla de resolucion</t>
        </is>
      </c>
      <c r="F43" s="12" t="inlineStr">
        <is>
          <t>Alta</t>
        </is>
      </c>
      <c r="G43" s="12" t="inlineStr">
        <is>
          <t>Pendiente</t>
        </is>
      </c>
      <c r="H43" s="12" t="inlineStr">
        <is>
          <t>09/10/2026</t>
        </is>
      </c>
      <c r="I43" s="13" t="n"/>
    </row>
    <row r="44" ht="25.5" customHeight="1">
      <c r="A44" s="12" t="n">
        <v>41</v>
      </c>
      <c r="B44" s="12" t="n">
        <v>12</v>
      </c>
      <c r="C44" s="12" t="inlineStr">
        <is>
          <t>F4</t>
        </is>
      </c>
      <c r="D44" s="13" t="inlineStr">
        <is>
          <t>Medir contraste, relacion senal-ruido y tiempo de computo</t>
        </is>
      </c>
      <c r="E44" s="13" t="inlineStr">
        <is>
          <t>Tabla de metricas</t>
        </is>
      </c>
      <c r="F44" s="12" t="inlineStr">
        <is>
          <t>Alta</t>
        </is>
      </c>
      <c r="G44" s="12" t="inlineStr">
        <is>
          <t>Pendiente</t>
        </is>
      </c>
      <c r="H44" s="12" t="inlineStr">
        <is>
          <t>09/10/2026</t>
        </is>
      </c>
      <c r="I44" s="13" t="n"/>
    </row>
    <row r="45" ht="25.5" customHeight="1">
      <c r="A45" s="12" t="n">
        <v>42</v>
      </c>
      <c r="B45" s="12" t="n">
        <v>12</v>
      </c>
      <c r="C45" s="12" t="inlineStr">
        <is>
          <t>F4</t>
        </is>
      </c>
      <c r="D45" s="13" t="inlineStr">
        <is>
          <t>Consolidar la tabla comparativa de resultados</t>
        </is>
      </c>
      <c r="E45" s="13" t="inlineStr">
        <is>
          <t>Tabla final</t>
        </is>
      </c>
      <c r="F45" s="12" t="inlineStr">
        <is>
          <t>Alta</t>
        </is>
      </c>
      <c r="G45" s="12" t="inlineStr">
        <is>
          <t>Pendiente</t>
        </is>
      </c>
      <c r="H45" s="12" t="inlineStr">
        <is>
          <t>09/10/2026</t>
        </is>
      </c>
      <c r="I45" s="13" t="n"/>
    </row>
    <row r="46" ht="25.5" customHeight="1">
      <c r="A46" s="12" t="n">
        <v>43</v>
      </c>
      <c r="B46" s="12" t="n">
        <v>12</v>
      </c>
      <c r="C46" s="12" t="inlineStr">
        <is>
          <t>F4</t>
        </is>
      </c>
      <c r="D46" s="13" t="inlineStr">
        <is>
          <t>Generar las figuras finales de resultados</t>
        </is>
      </c>
      <c r="E46" s="13" t="inlineStr">
        <is>
          <t>Figuras</t>
        </is>
      </c>
      <c r="F46" s="12" t="inlineStr">
        <is>
          <t>Alta</t>
        </is>
      </c>
      <c r="G46" s="12" t="inlineStr">
        <is>
          <t>Pendiente</t>
        </is>
      </c>
      <c r="H46" s="12" t="inlineStr">
        <is>
          <t>09/10/2026</t>
        </is>
      </c>
      <c r="I46" s="13" t="n"/>
    </row>
    <row r="47" ht="25.5" customHeight="1">
      <c r="A47" s="12" t="n">
        <v>44</v>
      </c>
      <c r="B47" s="12" t="n">
        <v>13</v>
      </c>
      <c r="C47" s="12" t="inlineStr">
        <is>
          <t>F4</t>
        </is>
      </c>
      <c r="D47" s="13" t="inlineStr">
        <is>
          <t>Redactar el capitulo de resultados</t>
        </is>
      </c>
      <c r="E47" s="13" t="inlineStr">
        <is>
          <t>Capitulo completo</t>
        </is>
      </c>
      <c r="F47" s="12" t="inlineStr">
        <is>
          <t>Alta</t>
        </is>
      </c>
      <c r="G47" s="12" t="inlineStr">
        <is>
          <t>Pendiente</t>
        </is>
      </c>
      <c r="H47" s="12" t="inlineStr">
        <is>
          <t>16/10/2026</t>
        </is>
      </c>
      <c r="I47" s="13" t="n"/>
    </row>
    <row r="48" ht="25.5" customHeight="1">
      <c r="A48" s="12" t="n">
        <v>45</v>
      </c>
      <c r="B48" s="12" t="n">
        <v>13</v>
      </c>
      <c r="C48" s="12" t="inlineStr">
        <is>
          <t>F4</t>
        </is>
      </c>
      <c r="D48" s="13" t="inlineStr">
        <is>
          <t>Redactar el analisis y la discusion</t>
        </is>
      </c>
      <c r="E48" s="13" t="inlineStr">
        <is>
          <t>Capitulo completo</t>
        </is>
      </c>
      <c r="F48" s="12" t="inlineStr">
        <is>
          <t>Alta</t>
        </is>
      </c>
      <c r="G48" s="12" t="inlineStr">
        <is>
          <t>Pendiente</t>
        </is>
      </c>
      <c r="H48" s="12" t="inlineStr">
        <is>
          <t>16/10/2026</t>
        </is>
      </c>
      <c r="I48" s="13" t="n"/>
    </row>
    <row r="49" ht="25.5" customHeight="1">
      <c r="A49" s="12" t="n">
        <v>46</v>
      </c>
      <c r="B49" s="12" t="n">
        <v>13</v>
      </c>
      <c r="C49" s="12" t="inlineStr">
        <is>
          <t>F4</t>
        </is>
      </c>
      <c r="D49" s="13" t="inlineStr">
        <is>
          <t>Ensamblar el borrador completo y enviarlo al asesor</t>
        </is>
      </c>
      <c r="E49" s="13" t="inlineStr">
        <is>
          <t>Borrador al 80 por ciento</t>
        </is>
      </c>
      <c r="F49" s="12" t="inlineStr">
        <is>
          <t>Alta</t>
        </is>
      </c>
      <c r="G49" s="12" t="inlineStr">
        <is>
          <t>Pendiente</t>
        </is>
      </c>
      <c r="H49" s="12" t="inlineStr">
        <is>
          <t>16/10/2026</t>
        </is>
      </c>
      <c r="I49" s="13" t="n"/>
    </row>
    <row r="50" ht="25.5" customHeight="1">
      <c r="A50" s="12" t="n">
        <v>47</v>
      </c>
      <c r="B50" s="12" t="n">
        <v>13</v>
      </c>
      <c r="C50" s="12" t="inlineStr">
        <is>
          <t>F4</t>
        </is>
      </c>
      <c r="D50" s="13" t="inlineStr">
        <is>
          <t>Preparar diapositivas del informe de avance 2</t>
        </is>
      </c>
      <c r="E50" s="13" t="inlineStr">
        <is>
          <t>Presentacion</t>
        </is>
      </c>
      <c r="F50" s="12" t="inlineStr">
        <is>
          <t>Media</t>
        </is>
      </c>
      <c r="G50" s="12" t="inlineStr">
        <is>
          <t>Pendiente</t>
        </is>
      </c>
      <c r="H50" s="12" t="inlineStr">
        <is>
          <t>16/10/2026</t>
        </is>
      </c>
      <c r="I50" s="13" t="n"/>
    </row>
    <row r="51" ht="25.5" customHeight="1">
      <c r="A51" s="15" t="n">
        <v>48</v>
      </c>
      <c r="B51" s="15" t="n">
        <v>14</v>
      </c>
      <c r="C51" s="15" t="inlineStr">
        <is>
          <t>HITO</t>
        </is>
      </c>
      <c r="D51" s="16" t="inlineStr">
        <is>
          <t>Presentar informe de avance 2 (19 de octubre)</t>
        </is>
      </c>
      <c r="E51" s="16" t="inlineStr">
        <is>
          <t>Exposicion evaluada</t>
        </is>
      </c>
      <c r="F51" s="15" t="inlineStr">
        <is>
          <t>Alta</t>
        </is>
      </c>
      <c r="G51" s="15" t="inlineStr">
        <is>
          <t>Pendiente</t>
        </is>
      </c>
      <c r="H51" s="15" t="inlineStr">
        <is>
          <t>19/10/2026</t>
        </is>
      </c>
      <c r="I51" s="16" t="n"/>
    </row>
    <row r="52" ht="25.5" customHeight="1">
      <c r="A52" s="12" t="n">
        <v>49</v>
      </c>
      <c r="B52" s="12" t="n">
        <v>14</v>
      </c>
      <c r="C52" s="12" t="inlineStr">
        <is>
          <t>F4</t>
        </is>
      </c>
      <c r="D52" s="13" t="inlineStr">
        <is>
          <t>Incorporar las correcciones del asesor</t>
        </is>
      </c>
      <c r="E52" s="13" t="inlineStr">
        <is>
          <t>Documento revisado</t>
        </is>
      </c>
      <c r="F52" s="12" t="inlineStr">
        <is>
          <t>Alta</t>
        </is>
      </c>
      <c r="G52" s="12" t="inlineStr">
        <is>
          <t>Pendiente</t>
        </is>
      </c>
      <c r="H52" s="12" t="inlineStr">
        <is>
          <t>19/10/2026</t>
        </is>
      </c>
      <c r="I52" s="13" t="n"/>
    </row>
    <row r="53" ht="25.5" customHeight="1">
      <c r="A53" s="12" t="n">
        <v>50</v>
      </c>
      <c r="B53" s="12" t="n">
        <v>14</v>
      </c>
      <c r="C53" s="12" t="inlineStr">
        <is>
          <t>F4</t>
        </is>
      </c>
      <c r="D53" s="13" t="inlineStr">
        <is>
          <t>Redactar conclusiones y trabajo futuro</t>
        </is>
      </c>
      <c r="E53" s="13" t="inlineStr">
        <is>
          <t>Seccion final</t>
        </is>
      </c>
      <c r="F53" s="12" t="inlineStr">
        <is>
          <t>Alta</t>
        </is>
      </c>
      <c r="G53" s="12" t="inlineStr">
        <is>
          <t>Pendiente</t>
        </is>
      </c>
      <c r="H53" s="12" t="inlineStr">
        <is>
          <t>19/10/2026</t>
        </is>
      </c>
      <c r="I53" s="13" t="n"/>
    </row>
    <row r="54" ht="25.5" customHeight="1">
      <c r="A54" s="15" t="n">
        <v>51</v>
      </c>
      <c r="B54" s="15" t="n">
        <v>14</v>
      </c>
      <c r="C54" s="15" t="inlineStr">
        <is>
          <t>HITO</t>
        </is>
      </c>
      <c r="D54" s="16" t="inlineStr">
        <is>
          <t>Solicitar la carta de aval y proponer los jurados evaluadores</t>
        </is>
      </c>
      <c r="E54" s="16" t="inlineStr">
        <is>
          <t>Carta en tramite</t>
        </is>
      </c>
      <c r="F54" s="15" t="inlineStr">
        <is>
          <t>Alta</t>
        </is>
      </c>
      <c r="G54" s="15" t="inlineStr">
        <is>
          <t>Pendiente</t>
        </is>
      </c>
      <c r="H54" s="15" t="inlineStr">
        <is>
          <t>19/10/2026</t>
        </is>
      </c>
      <c r="I54" s="16" t="n"/>
    </row>
    <row r="55" ht="25.5" customHeight="1">
      <c r="A55" s="12" t="n">
        <v>52</v>
      </c>
      <c r="B55" s="12" t="n">
        <v>14</v>
      </c>
      <c r="C55" s="12" t="inlineStr">
        <is>
          <t>F4</t>
        </is>
      </c>
      <c r="D55" s="13" t="inlineStr">
        <is>
          <t>Limpiar y documentar el repositorio de codigo</t>
        </is>
      </c>
      <c r="E55" s="13" t="inlineStr">
        <is>
          <t>Repositorio ordenado</t>
        </is>
      </c>
      <c r="F55" s="12" t="inlineStr">
        <is>
          <t>Media</t>
        </is>
      </c>
      <c r="G55" s="12" t="inlineStr">
        <is>
          <t>Pendiente</t>
        </is>
      </c>
      <c r="H55" s="12" t="inlineStr">
        <is>
          <t>19/10/2026</t>
        </is>
      </c>
      <c r="I55" s="13" t="n"/>
    </row>
    <row r="56" ht="25.5" customHeight="1">
      <c r="A56" s="12" t="n">
        <v>53</v>
      </c>
      <c r="B56" s="12" t="n">
        <v>15</v>
      </c>
      <c r="C56" s="12" t="inlineStr">
        <is>
          <t>F4</t>
        </is>
      </c>
      <c r="D56" s="13" t="inlineStr">
        <is>
          <t>Revisar formato, citacion IEEE y bibliografia</t>
        </is>
      </c>
      <c r="E56" s="13" t="inlineStr">
        <is>
          <t>Documento formateado</t>
        </is>
      </c>
      <c r="F56" s="12" t="inlineStr">
        <is>
          <t>Alta</t>
        </is>
      </c>
      <c r="G56" s="12" t="inlineStr">
        <is>
          <t>Pendiente</t>
        </is>
      </c>
      <c r="H56" s="12" t="inlineStr">
        <is>
          <t>30/10/2026</t>
        </is>
      </c>
      <c r="I56" s="13" t="n"/>
    </row>
    <row r="57" ht="25.5" customHeight="1">
      <c r="A57" s="12" t="n">
        <v>54</v>
      </c>
      <c r="B57" s="12" t="n">
        <v>15</v>
      </c>
      <c r="C57" s="12" t="inlineStr">
        <is>
          <t>F4</t>
        </is>
      </c>
      <c r="D57" s="13" t="inlineStr">
        <is>
          <t>Revision final de figuras, tablas y numeracion</t>
        </is>
      </c>
      <c r="E57" s="13" t="inlineStr">
        <is>
          <t>Documento revisado</t>
        </is>
      </c>
      <c r="F57" s="12" t="inlineStr">
        <is>
          <t>Alta</t>
        </is>
      </c>
      <c r="G57" s="12" t="inlineStr">
        <is>
          <t>Pendiente</t>
        </is>
      </c>
      <c r="H57" s="12" t="inlineStr">
        <is>
          <t>30/10/2026</t>
        </is>
      </c>
      <c r="I57" s="13" t="n"/>
    </row>
    <row r="58" ht="25.5" customHeight="1">
      <c r="A58" s="12" t="n">
        <v>55</v>
      </c>
      <c r="B58" s="12" t="n">
        <v>15</v>
      </c>
      <c r="C58" s="12" t="inlineStr">
        <is>
          <t>F4</t>
        </is>
      </c>
      <c r="D58" s="13" t="inlineStr">
        <is>
          <t>Publicar el repositorio de codigo en acceso abierto</t>
        </is>
      </c>
      <c r="E58" s="13" t="inlineStr">
        <is>
          <t>Enlace publico</t>
        </is>
      </c>
      <c r="F58" s="12" t="inlineStr">
        <is>
          <t>Media</t>
        </is>
      </c>
      <c r="G58" s="12" t="inlineStr">
        <is>
          <t>Pendiente</t>
        </is>
      </c>
      <c r="H58" s="12" t="inlineStr">
        <is>
          <t>30/10/2026</t>
        </is>
      </c>
      <c r="I58" s="13" t="n"/>
    </row>
    <row r="59" ht="25.5" customHeight="1">
      <c r="A59" s="15" t="n">
        <v>56</v>
      </c>
      <c r="B59" s="15" t="n">
        <v>15</v>
      </c>
      <c r="C59" s="15" t="inlineStr">
        <is>
          <t>HITO</t>
        </is>
      </c>
      <c r="D59" s="16" t="inlineStr">
        <is>
          <t>Entregar el informe final con carta de aval (30 de octubre)</t>
        </is>
      </c>
      <c r="E59" s="16" t="inlineStr">
        <is>
          <t>ENTREGA FINAL</t>
        </is>
      </c>
      <c r="F59" s="15" t="inlineStr">
        <is>
          <t>Alta</t>
        </is>
      </c>
      <c r="G59" s="15" t="inlineStr">
        <is>
          <t>Pendiente</t>
        </is>
      </c>
      <c r="H59" s="15" t="inlineStr">
        <is>
          <t>30/10/2026</t>
        </is>
      </c>
      <c r="I59" s="16" t="n"/>
    </row>
    <row r="60" ht="25.5" customHeight="1">
      <c r="A60" s="12" t="n">
        <v>57</v>
      </c>
      <c r="B60" s="12" t="n">
        <v>5</v>
      </c>
      <c r="C60" s="12" t="inlineStr">
        <is>
          <t>F1</t>
        </is>
      </c>
      <c r="D60" s="13" t="inlineStr">
        <is>
          <t>Benchmark CPU vs GPU: escalado con N y con el sobremuestreo s</t>
        </is>
      </c>
      <c r="E60" s="13" t="inlineStr">
        <is>
          <t>Curvas de tiempo y aceleracion</t>
        </is>
      </c>
      <c r="F60" s="12" t="inlineStr">
        <is>
          <t>Alta</t>
        </is>
      </c>
      <c r="G60" s="12" t="inlineStr">
        <is>
          <t>Hecho</t>
        </is>
      </c>
      <c r="H60" s="12" t="inlineStr">
        <is>
          <t>14/08/2026</t>
        </is>
      </c>
      <c r="I60" s="13" t="inlineStr">
        <is>
          <t>scripts/comparacion.py -&gt; resultados/tiempos.png, aceleracion.png, escalado_N.csv, escalado_s.csv. Separa la aceleracion por hardware (x) de la aceleracion a igual precision (x_iso) y reporta la fraccion del tiempo que se va en transferencias.</t>
        </is>
      </c>
    </row>
    <row r="61" ht="25.5" customHeight="1">
      <c r="A61" s="12" t="n">
        <v>58</v>
      </c>
      <c r="B61" s="12" t="n">
        <v>5</v>
      </c>
      <c r="C61" s="12" t="inlineStr">
        <is>
          <t>F1</t>
        </is>
      </c>
      <c r="D61" s="13" t="inlineStr">
        <is>
          <t>Parchar los repos de referencia y contrastar CamposT contra pyDHM</t>
        </is>
      </c>
      <c r="E61" s="13" t="inlineStr">
        <is>
          <t>Script de parches + tabla de contraste</t>
        </is>
      </c>
      <c r="F61" s="12" t="inlineStr">
        <is>
          <t>Media</t>
        </is>
      </c>
      <c r="G61" s="12" t="inlineStr">
        <is>
          <t>Hecho</t>
        </is>
      </c>
      <c r="H61" s="12" t="inlineStr">
        <is>
          <t>14/08/2026</t>
        </is>
      </c>
      <c r="I61" s="13" t="inlineStr">
        <is>
          <t>Commit 8aa0403. parchar_referencias.py: ocho parches idempotentes, ninguno cambia la fisica, con marca [parche TG] en cada linea tocada. contraste_referencias.py: fft_asm coincide con pyDHM.angularSpectrum a 1e-8.</t>
        </is>
      </c>
    </row>
    <row r="62" ht="25.5" customHeight="1">
      <c r="A62" s="12" t="n">
        <v>59</v>
      </c>
      <c r="B62" s="12" t="n">
        <v>6</v>
      </c>
      <c r="C62" s="12" t="inlineStr">
        <is>
          <t>F1</t>
        </is>
      </c>
      <c r="D62" s="13" t="inlineStr">
        <is>
          <t>Reproducir el escenario de la Tabla 1 (apertura y frente propagado)</t>
        </is>
      </c>
      <c r="E62" s="13" t="inlineStr">
        <is>
          <t>Figura del escenario</t>
        </is>
      </c>
      <c r="F62" s="12" t="inlineStr">
        <is>
          <t>Media</t>
        </is>
      </c>
      <c r="G62" s="12" t="inlineStr">
        <is>
          <t>Hecho</t>
        </is>
      </c>
      <c r="H62" s="12" t="inlineStr">
        <is>
          <t>21/08/2026</t>
        </is>
      </c>
      <c r="I62" s="13" t="inlineStr">
        <is>
          <t>Commit c6963d1, repartida en tres figuras por el commit 641861a: scripts/figura_escenario.py -&gt; resultados/escenario/apertura.png, frente_propagado.png y corte_axial.png. Insumo de la tarea 24: es donde se resuelve que la lente del paper es un pinhole virtual.</t>
        </is>
      </c>
    </row>
    <row r="63">
      <c r="A63" s="12" t="n">
        <v>60</v>
      </c>
      <c r="B63" s="12" t="n">
        <v>6</v>
      </c>
      <c r="C63" s="12" t="inlineStr">
        <is>
          <t>F1</t>
        </is>
      </c>
      <c r="D63" s="13" t="inlineStr">
        <is>
          <t>Corregir el factor 2 en la conversion del target USAF a lp/mm</t>
        </is>
      </c>
      <c r="E63" s="13" t="inlineStr">
        <is>
          <t>Geometria contrastada contra la imagen</t>
        </is>
      </c>
      <c r="F63" s="12" t="inlineStr">
        <is>
          <t>Alta</t>
        </is>
      </c>
      <c r="G63" s="12" t="inlineStr">
        <is>
          <t>Hecho</t>
        </is>
      </c>
      <c r="H63" s="12" t="inlineStr">
        <is>
          <t>21/08/2026</t>
        </is>
      </c>
      <c r="I63" s="13" t="inlineStr">
        <is>
          <t>periodos_usaf devolvia el ancho de barra llamandolo periodo. Un par de lineas es barra+hueco = 2b, asi que toda cifra de resolucion habria salido con factor 2. Alimenta directamente la tarea 40. Ahora anchos_barra_usaf / periodos_usaf / lineas_por_mm_usaf salen de una sola fuente, la misma con la que dibuja usaf_like.</t>
        </is>
      </c>
    </row>
    <row r="64">
      <c r="A64" s="12" t="n">
        <v>61</v>
      </c>
      <c r="B64" s="12" t="n">
        <v>6</v>
      </c>
      <c r="C64" s="12" t="inlineStr">
        <is>
          <t>F1</t>
        </is>
      </c>
      <c r="D64" s="13" t="inlineStr">
        <is>
          <t>Calcular K_fx y K_fy por eje para campos no cuadrados</t>
        </is>
      </c>
      <c r="E64" s="13" t="inlineStr">
        <is>
          <t>Propagador correcto en malla rectangular</t>
        </is>
      </c>
      <c r="F64" s="12" t="inlineStr">
        <is>
          <t>Alta</t>
        </is>
      </c>
      <c r="G64" s="12" t="inlineStr">
        <is>
          <t>Hecho</t>
        </is>
      </c>
      <c r="H64" s="12" t="inlineStr">
        <is>
          <t>21/08/2026</t>
        </is>
      </c>
      <c r="I64" s="13" t="inlineStr">
        <is>
          <t>La Tabla 1 los lista por separado y mpasm usaba uno solo. Kf va como ~1/sqrt(N), asi que el eje corto quedaba submuestreado en silencio. Con un target USAF en malla 64x128 el error es 5x a 63x mayor; con un gaussiano NO se aprecia, porque hace falta contenido cerca del limite de banda para que aparezca aliasing. Los sensores de DLHM no son cuadrados: esto habria aparecido en la semana 11.</t>
        </is>
      </c>
    </row>
    <row r="65">
      <c r="A65" s="12" t="n">
        <v>62</v>
      </c>
      <c r="B65" s="12" t="n">
        <v>6</v>
      </c>
      <c r="C65" s="12" t="inlineStr">
        <is>
          <t>F1</t>
        </is>
      </c>
      <c r="D65" s="13" t="inlineStr">
        <is>
          <t>Separar el paquete por responsabilidad (referencias, metricas, pipeline)</t>
        </is>
      </c>
      <c r="E65" s="13" t="inlineStr">
        <is>
          <t>Paquete navegable</t>
        </is>
      </c>
      <c r="F65" s="12" t="inlineStr">
        <is>
          <t>Media</t>
        </is>
      </c>
      <c r="G65" s="12" t="inlineStr">
        <is>
          <t>Hecho</t>
        </is>
      </c>
      <c r="H65" s="12" t="inlineStr">
        <is>
          <t>21/08/2026</t>
        </is>
      </c>
      <c r="I65" s="13" t="inlineStr">
        <is>
          <t>propagadores.py habia llegado a 539 lineas con cuatro asuntos dentro y campos.py mezclaba construir el campo con propagarlo y guardarlo. Ahora seis modulos de un tema cada uno, ninguno de mas de 235 lineas: campos, propagadores, referencias, metricas, pipeline y backend. 158 tests en verde antes y despues: el comportamiento no cambio.</t>
        </is>
      </c>
    </row>
    <row r="66">
      <c r="A66" s="12" t="n">
        <v>63</v>
      </c>
      <c r="B66" s="12" t="n">
        <v>6</v>
      </c>
      <c r="C66" s="12" t="inlineStr">
        <is>
          <t>F1</t>
        </is>
      </c>
      <c r="D66" s="13" t="inlineStr">
        <is>
          <t>Corregir Kf a distancia negativa y comprobar la ventana de salida de MPASM</t>
        </is>
      </c>
      <c r="E66" s="13" t="inlineStr">
        <is>
          <t>Propagador correcto al retropropagar</t>
        </is>
      </c>
      <c r="F66" s="12" t="inlineStr">
        <is>
          <t>Alta</t>
        </is>
      </c>
      <c r="G66" s="12" t="inlineStr">
        <is>
          <t>Hecho</t>
        </is>
      </c>
      <c r="H66" s="12" t="inlineStr">
        <is>
          <t>21/08/2026</t>
        </is>
      </c>
      <c r="I66" s="13" t="inlineStr">
        <is>
          <t>Commit f166a17. kf_auto aplicaba la Ec. (14) tal cual a z &lt; 0, donde fmax sale negativo y el max(1.0, ...) devuelve 1: la compresion quedaba apagada y MPASM corria como un FFT-ASM rellenado de ceros en TODA retropropagacion, sin avisar. Kf depende de |z| y no de z, porque H(-z) = conj(H(z)). Error contra la referencia a 400 mm: de 5.4 a 1.1e-2. Ademas _comprobar_ventana aborta si r*mag &gt; s*Kf; antes esa violacion devolvia copias periodicas del campo superpuestas, con error relativo 1.0 contra el gaussiano analitico y sin fallar ni avisar. Ese limite es el primer criterio operativo de la tarea 31. De 177 a 186 tests.</t>
        </is>
      </c>
    </row>
    <row r="67">
      <c r="A67" s="12" t="n">
        <v>64</v>
      </c>
      <c r="B67" s="12" t="n">
        <v>6</v>
      </c>
      <c r="C67" s="12" t="inlineStr">
        <is>
          <t>F2</t>
        </is>
      </c>
      <c r="D67" s="13" t="inlineStr">
        <is>
          <t>Retropropagacion de hologramas: modulo, CLI y suite de verificacion</t>
        </is>
      </c>
      <c r="E67" s="13" t="inlineStr">
        <is>
          <t>Reconstruccion sobre un barrido de z</t>
        </is>
      </c>
      <c r="F67" s="12" t="inlineStr">
        <is>
          <t>Alta</t>
        </is>
      </c>
      <c r="G67" s="12" t="inlineStr">
        <is>
          <t>Hecho</t>
        </is>
      </c>
      <c r="H67" s="12" t="inlineStr">
        <is>
          <t>21/08/2026</t>
        </is>
      </c>
      <c r="I67" s="13" t="inlineStr">
        <is>
          <t>ADELANTADA: es la mitad general de la tarea 26 (semana 9). CamposT/retropropagacion.py carga la imagen como INTENSIDAD medida (load_field mode='holograma', U = sqrt(I)), propaga a -z con los tres propagadores sobre un barrido de distancias y escribe resultados/retropropagacion/&lt;holograma&gt;/&lt;metodo&gt;/. CLI 'python -m CamposT.retropropagacion' y scripts/mi_holograma.py con constantes editables, que llama a su main() para que no puedan divergir. 19 tests: la reconstruccion RE-LOCALIZA el objeto (del 0.10 % al 7.5 % del contraste sobre una huella que es el 0.39 % del plano) y queda escrito que el signo NO se puede verificar sobre la intensidad, porque con entrada real |U(-z)|^2 = |U(+z)|^2 (medido: 3.5e-16): es la ambiguedad de la imagen gemela. Dos limites declarados: iluminacion colimada, sin la correccion de fuente puntual de DLHM, y sin supresion de la gemela. Commit b916792.</t>
        </is>
      </c>
    </row>
    <row r="68"/>
    <row r="69">
      <c r="D69" t="inlineStr">
        <is>
          <t>Ejemplo de uso: 'En curso' mientras trabajas la tarea, 'Bloqueado' si depende de un tercero (laboratorio, asesor).</t>
        </is>
      </c>
    </row>
  </sheetData>
  <autoFilter ref="A3:I62"/>
  <mergeCells count="1">
    <mergeCell ref="A1:I1"/>
  </mergeCells>
  <conditionalFormatting sqref="G4:G200">
    <cfRule type="cellIs" priority="2" operator="equal" dxfId="2">
      <formula>"Hecho"</formula>
    </cfRule>
    <cfRule type="cellIs" priority="3" operator="equal" dxfId="1">
      <formula>"En curso"</formula>
    </cfRule>
    <cfRule type="cellIs" priority="4" operator="equal" dxfId="0">
      <formula>"Bloqueado"</formula>
    </cfRule>
  </conditionalFormatting>
  <dataValidations count="1">
    <dataValidation sqref="G4:G200" showDropDown="0" showInputMessage="0" showErrorMessage="0" allowBlank="1" error="Selecciona un valor de la lista" type="list">
      <formula1>"Pendiente,En curso,Hecho,Bloqueado"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selection activeCell="A1" sqref="A1:D1"/>
    </sheetView>
  </sheetViews>
  <sheetFormatPr baseColWidth="10" defaultColWidth="8.6640625" defaultRowHeight="14.4"/>
  <cols>
    <col width="16" customWidth="1" min="1" max="1"/>
    <col width="12" customWidth="1" min="2" max="2"/>
    <col width="56" customWidth="1" min="3" max="3"/>
    <col width="18" customWidth="1" min="4" max="4"/>
  </cols>
  <sheetData>
    <row r="1" ht="21.75" customHeight="1">
      <c r="A1" s="22" t="inlineStr">
        <is>
          <t>Fechas institucionales confirmadas (Directrices 2026-2)</t>
        </is>
      </c>
    </row>
    <row r="3" ht="30" customHeight="1">
      <c r="A3" s="8" t="inlineStr">
        <is>
          <t>Fecha</t>
        </is>
      </c>
      <c r="B3" s="8" t="inlineStr">
        <is>
          <t>Semana</t>
        </is>
      </c>
      <c r="C3" s="8" t="inlineStr">
        <is>
          <t>Actividad</t>
        </is>
      </c>
      <c r="D3" s="8" t="inlineStr">
        <is>
          <t>Peso en la nota</t>
        </is>
      </c>
    </row>
    <row r="4" ht="24" customHeight="1">
      <c r="A4" s="12" t="inlineStr">
        <is>
          <t>27 de julio de 2026</t>
        </is>
      </c>
      <c r="B4" s="12" t="inlineStr">
        <is>
          <t>3</t>
        </is>
      </c>
      <c r="C4" s="13" t="inlineStr">
        <is>
          <t>Anteproyecto - documento escrito</t>
        </is>
      </c>
      <c r="D4" s="12" t="inlineStr">
        <is>
          <t>10 % (con sustentacion)</t>
        </is>
      </c>
    </row>
    <row r="5" ht="24" customHeight="1">
      <c r="A5" s="12" t="inlineStr">
        <is>
          <t>3 de agosto de 2026</t>
        </is>
      </c>
      <c r="B5" s="12" t="inlineStr">
        <is>
          <t>4</t>
        </is>
      </c>
      <c r="C5" s="13" t="inlineStr">
        <is>
          <t>Anteproyecto - sustentacion oral</t>
        </is>
      </c>
      <c r="D5" s="12" t="inlineStr">
        <is>
          <t>10 % (con documento)</t>
        </is>
      </c>
    </row>
    <row r="6" ht="24" customHeight="1">
      <c r="A6" s="12" t="inlineStr">
        <is>
          <t>31 de agosto de 2026</t>
        </is>
      </c>
      <c r="B6" s="12" t="inlineStr">
        <is>
          <t>8</t>
        </is>
      </c>
      <c r="C6" s="13" t="inlineStr">
        <is>
          <t>Exposicion informe de avance 1</t>
        </is>
      </c>
      <c r="D6" s="12" t="inlineStr">
        <is>
          <t>5 %</t>
        </is>
      </c>
    </row>
    <row r="7" ht="24" customHeight="1">
      <c r="A7" s="12" t="inlineStr">
        <is>
          <t>19 de octubre de 2026</t>
        </is>
      </c>
      <c r="B7" s="12" t="inlineStr">
        <is>
          <t>14</t>
        </is>
      </c>
      <c r="C7" s="13" t="inlineStr">
        <is>
          <t>Exposicion informe de avance 2</t>
        </is>
      </c>
      <c r="D7" s="12" t="inlineStr">
        <is>
          <t>5 %</t>
        </is>
      </c>
    </row>
    <row r="8" ht="24" customHeight="1">
      <c r="A8" s="12" t="inlineStr">
        <is>
          <t>30 de octubre de 2026</t>
        </is>
      </c>
      <c r="B8" s="12" t="inlineStr">
        <is>
          <t>15</t>
        </is>
      </c>
      <c r="C8" s="13" t="inlineStr">
        <is>
          <t>Limite de entrega del informe final con carta de aval</t>
        </is>
      </c>
      <c r="D8" s="12" t="inlineStr">
        <is>
          <t>-</t>
        </is>
      </c>
    </row>
    <row r="9" ht="24" customHeight="1">
      <c r="A9" s="12" t="inlineStr">
        <is>
          <t>Hasta el 20 de noviembre de 2026</t>
        </is>
      </c>
      <c r="B9" s="12" t="inlineStr">
        <is>
          <t>18</t>
        </is>
      </c>
      <c r="C9" s="13" t="inlineStr">
        <is>
          <t>Defensa o presentacion publica ante jurados</t>
        </is>
      </c>
      <c r="D9" s="12" t="inlineStr">
        <is>
          <t>45 %</t>
        </is>
      </c>
    </row>
    <row r="10" ht="24" customHeight="1">
      <c r="A10" s="12" t="inlineStr">
        <is>
          <t>Hasta el 20 de noviembre de 2026</t>
        </is>
      </c>
      <c r="B10" s="12" t="inlineStr">
        <is>
          <t>18</t>
        </is>
      </c>
      <c r="C10" s="13" t="inlineStr">
        <is>
          <t>Desarrollo del trabajo y sustentacion (asesor)</t>
        </is>
      </c>
      <c r="D10" s="12" t="inlineStr">
        <is>
          <t>35 %</t>
        </is>
      </c>
    </row>
    <row r="11" ht="24" customHeight="1">
      <c r="A11" s="12" t="inlineStr">
        <is>
          <t>9 y 10 de diciembre de 2026</t>
        </is>
      </c>
      <c r="B11" s="12" t="inlineStr">
        <is>
          <t>-</t>
        </is>
      </c>
      <c r="C11" s="13" t="inlineStr">
        <is>
          <t>Ceremonia de grados</t>
        </is>
      </c>
      <c r="D11" s="12" t="inlineStr">
        <is>
          <t>-</t>
        </is>
      </c>
    </row>
    <row r="13">
      <c r="A13" s="25" t="inlineStr">
        <is>
          <t>Nota: la Opcion 1 (con opcion a mencion de honor) exigiria entregar el informe final el 13 de octubre (semana 13) y defender antes del 6 de noviembre. Este cronograma sigue la Opcion 2.</t>
        </is>
      </c>
    </row>
  </sheetData>
  <mergeCells count="2">
    <mergeCell ref="A1:D1"/>
    <mergeCell ref="A13:D1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2026-08-04T17:11:20Z</dcterms:created>
  <dcterms:modified xsi:type="dcterms:W3CDTF">2026-08-23T20:38:48Z</dcterms:modified>
  <cp:lastModifiedBy>Camilo Rodriguez Londoño</cp:lastModifiedBy>
  <cp:revision>0</cp:revision>
</cp:coreProperties>
</file>