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sz val="9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9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B25" sqref="B25"/>
    </sheetView>
  </sheetViews>
  <sheetFormatPr baseColWidth="10" defaultColWidth="8.6640625" defaultRowHeight="14.4"/>
  <cols>
    <col width="38" customWidth="1" min="1" max="1"/>
    <col width="18" customWidth="1" min="2" max="2"/>
    <col width="42.5546875" customWidth="1" min="3" max="3"/>
    <col width="60" customWidth="1" min="4" max="4"/>
  </cols>
  <sheetData>
    <row r="1" ht="21.75" customHeight="1">
      <c r="A1" s="22" t="inlineStr">
        <is>
          <t>Trabajo de grado 2026-2 - Propagadores con control de muestreo en DLHM</t>
        </is>
      </c>
    </row>
    <row r="3" ht="15" customHeight="1">
      <c r="A3" s="2" t="inlineStr">
        <is>
          <t>Estudiante</t>
        </is>
      </c>
      <c r="B3" s="23" t="inlineStr">
        <is>
          <t>Camilo Rodriguez Londono</t>
        </is>
      </c>
      <c r="D3" s="24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  <c r="D4" s="26" t="n"/>
    </row>
    <row r="5">
      <c r="A5" s="2" t="inlineStr">
        <is>
          <t>Programa</t>
        </is>
      </c>
      <c r="B5" s="23" t="inlineStr">
        <is>
          <t>Ingenieria Fisica - Universidad EAFIT</t>
        </is>
      </c>
      <c r="D5" s="26" t="n"/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  <c r="D6" s="26" t="n"/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  <c r="D7" s="26" t="n"/>
    </row>
    <row r="8">
      <c r="A8" s="2" t="inlineStr">
        <is>
          <t>Defensa publica</t>
        </is>
      </c>
      <c r="B8" s="23" t="inlineStr">
        <is>
          <t>Hasta el viernes 20 de noviembre de 2026</t>
        </is>
      </c>
      <c r="D8" s="26" t="n"/>
    </row>
    <row r="9">
      <c r="A9" s="2" t="inlineStr">
        <is>
          <t>Ultima revision del plan</t>
        </is>
      </c>
      <c r="B9" s="23" t="inlineStr">
        <is>
          <t>Domingo 23 de agosto de 2026 (fin de semana 6)</t>
        </is>
      </c>
      <c r="D9" s="26" t="n"/>
    </row>
    <row r="10">
      <c r="A10" s="3" t="inlineStr">
        <is>
          <t>AVANCE GLOBAL</t>
        </is>
      </c>
      <c r="D10" s="26" t="n"/>
    </row>
    <row r="11">
      <c r="A11" s="23" t="inlineStr">
        <is>
          <t>Tareas totales</t>
        </is>
      </c>
      <c r="B11" s="4">
        <f>COUNTA(Tareas!$A$4:$A$200)</f>
        <v/>
      </c>
      <c r="D11" s="26" t="n"/>
    </row>
    <row r="12">
      <c r="A12" s="23" t="inlineStr">
        <is>
          <t>Tareas completadas</t>
        </is>
      </c>
      <c r="B12" s="4">
        <f>COUNTIF(Tareas!$G$4:$G$200,"Hecho")</f>
        <v/>
      </c>
      <c r="D12" s="26" t="n"/>
    </row>
    <row r="13">
      <c r="A13" s="23" t="inlineStr">
        <is>
          <t>Tareas en curso</t>
        </is>
      </c>
      <c r="B13" s="4">
        <f>COUNTIF(Tareas!$G$4:$G$200,"En curso")</f>
        <v/>
      </c>
      <c r="D13" s="26" t="n"/>
    </row>
    <row r="14">
      <c r="A14" s="23" t="inlineStr">
        <is>
          <t>Tareas bloqueadas</t>
        </is>
      </c>
      <c r="B14" s="4">
        <f>COUNTIF(Tareas!$G$4:$G$200,"Bloqueado")</f>
        <v/>
      </c>
      <c r="D14" s="26" t="n"/>
    </row>
    <row r="15">
      <c r="A15" s="23" t="inlineStr">
        <is>
          <t>Porcentaje completado</t>
        </is>
      </c>
      <c r="B15" s="5">
        <f>IFERROR(B12/B11,0)</f>
        <v/>
      </c>
      <c r="D15" s="26" t="n"/>
    </row>
    <row r="16">
      <c r="D16" s="26" t="n"/>
    </row>
    <row r="17">
      <c r="A17" s="3" t="inlineStr">
        <is>
          <t>AVANCE POR FASE</t>
        </is>
      </c>
      <c r="D17" s="26" t="n"/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  <c r="D18" s="26" t="n"/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  <c r="D19" s="26" t="n"/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  <c r="D20" s="26" t="n"/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  <c r="D21" s="26" t="n"/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  <c r="D22" s="26" t="n"/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  <c r="D23" s="27" t="n"/>
    </row>
  </sheetData>
  <mergeCells count="9">
    <mergeCell ref="A1:D1"/>
    <mergeCell ref="B6:C6"/>
    <mergeCell ref="B7:C7"/>
    <mergeCell ref="B3:C3"/>
    <mergeCell ref="D3:D23"/>
    <mergeCell ref="B5:C5"/>
    <mergeCell ref="B9:C9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4.4"/>
  <cols>
    <col width="10" customWidth="1" min="1" max="1"/>
    <col width="18" customWidth="1" min="2" max="2"/>
    <col width="12" customWidth="1" min="3" max="3"/>
    <col width="44" customWidth="1" min="4" max="4"/>
    <col width="40" customWidth="1" min="5" max="5"/>
    <col width="32" customWidth="1" min="6" max="6"/>
    <col width="10" customWidth="1" min="7" max="7"/>
    <col width="12" customWidth="1" min="8" max="8"/>
  </cols>
  <sheetData>
    <row r="1" ht="21.75" customHeight="1">
      <c r="A1" s="22" t="inlineStr">
        <is>
          <t>Cronograma semana a semana</t>
        </is>
      </c>
    </row>
    <row r="3" ht="30" customHeight="1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tabSelected="1"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min="1" max="1"/>
    <col width="10" customWidth="1" min="2" max="2"/>
    <col width="9" customWidth="1" min="3" max="3"/>
    <col width="62" customWidth="1" min="4" max="4"/>
    <col width="30" customWidth="1" min="5" max="5"/>
    <col width="12" customWidth="1" min="6" max="6"/>
    <col width="14" customWidth="1" min="7" max="8"/>
    <col width="34" customWidth="1" min="9" max="9"/>
  </cols>
  <sheetData>
    <row r="1" ht="21.75" customHeight="1">
      <c r="A1" s="22" t="inlineStr">
        <is>
          <t>Lista de tareas - editar solo la columna Estado</t>
        </is>
      </c>
    </row>
    <row r="3" ht="30" customHeight="1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En curso</t>
        </is>
      </c>
      <c r="H4" s="12" t="inlineStr">
        <is>
          <t>07/08/2026</t>
        </is>
      </c>
      <c r="I4" s="13" t="inlineStr">
        <is>
          <t>Sigue abierta desde la semana 4, vencio el 07/08. O se cierra, o se convierte en lista concreta de ajustes: es lo que se presenta como respuesta a la sustentacion en el informe de avance 1.</t>
        </is>
      </c>
    </row>
    <row r="5" ht="25.5" customHeight="1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En curso</t>
        </is>
      </c>
      <c r="H6" s="12" t="inlineStr">
        <is>
          <t>07/08/2026</t>
        </is>
      </c>
      <c r="I6" s="13" t="inlineStr">
        <is>
          <t>DESBLOQUEADA: ya estan la metrica SAM (tarea 14) y la referencia R-S (tarea 12), que eran lo que faltaba. scripts/exactitud.py ya imprime la tabla: MPASM se mantiene entre 31 y 48 dB de z=500 a 200000 mm, FFT-ASM cae de 40 a -1.85 dB y BL-ASM se degrada y luego se recupera. Falta graficarlo contra z. Al 23/08 sigue pendiente lo mismo, y es el MISMO grafico que le falta a la tarea 13.</t>
        </is>
      </c>
    </row>
    <row r="7" ht="25.5" customHeight="1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Hecho</t>
        </is>
      </c>
      <c r="H9" s="12" t="inlineStr">
        <is>
          <t>14/08/2026</t>
        </is>
      </c>
      <c r="I9" s="13" t="inlineStr">
        <is>
          <t>Hecha. La interfaz comun es pipeline.propagar(U0, delta, lamb, z, metodo, pad, device, dtype) -&gt; (campo, info), uniforme para los tres metodos. Las funciones de bajo nivel conservan su retorno propio a proposito: mpasm devuelve Kf porque es un resultado del metodo, no un detalle de implementacion.</t>
        </is>
      </c>
    </row>
    <row r="10" ht="25.5" customHeight="1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</t>
        </is>
      </c>
    </row>
    <row r="11" ht="25.5" customHeight="1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</t>
        </is>
      </c>
    </row>
    <row r="12" ht="25.5" customHeight="1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tests/conftest.py, 119 casos, verde. Cubre z=0, energia, reversibilidad, MPASM con Kf&gt;1, paridad CPU/GPU, kf_auto y la funcion de transferencia. Validada por mutacion: 6 bugs inyectados, 6 detectados. Correr con: python -m pytest Al 23/08 la suite va por 186 casos en verde, 19 de ellos de retropropagacion (tarea 64).</t>
        </is>
      </c>
    </row>
    <row r="13" ht="25.5" customHeight="1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 Corregido despues, en la semana 6: ver tarea 63 (Kf a z &lt; 0 y guardia de ventana de salida).</t>
        </is>
      </c>
    </row>
    <row r="15" ht="25.5" customHeight="1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Hecho</t>
        </is>
      </c>
      <c r="H15" s="12" t="inlineStr">
        <is>
          <t>21/08/2026</t>
        </is>
      </c>
      <c r="I15" s="13" t="inlineStr">
        <is>
          <t>Hecha. CamposT/referencias.py, rs1_radial(): R-S I exacta reducida a 1-D por simetria circular (el paper dice que reduce el calculo 2-D a 1-D pero no como; es reescribir la integral en polares, sin aproximar). O(N_rho^2 N_phi) en vez de O(N^4): la fuerza bruta de pyLHM tardaria 1-2 h en la malla de la Tabla 1. Contrastada contra esa fuerza bruta y 19x mas exacta que ella (1.0e-3 frente a 1.9e-2 contra la analitica). No es paraxial, asi que su diferencia con gauss_analytic mide la paraxialidad. 11 tests, mutacion 8/8.</t>
        </is>
      </c>
    </row>
    <row r="16" ht="25.5" customHeight="1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En curso</t>
        </is>
      </c>
      <c r="H16" s="12" t="inlineStr">
        <is>
          <t>21/08/2026</t>
        </is>
      </c>
      <c r="I16" s="13" t="inlineStr">
        <is>
          <t>Verificacion hecha y ampliada: ahora hay DOS referencias independientes (gauss_analytic, paraxial, y rs1_radial, no paraxial) y la metrica correcta. scripts/exactitud.py imprime la tabla SAM vs z. Falta solo el entregable: graficar las curvas de error. Al 23/08: mismo bloqueo que la tarea 3. Una sola figura (SAM vs z, los tres metodos) cierra las dos y produce el entregable 'Objetivo 1 cerrado' de la semana 6.</t>
        </is>
      </c>
    </row>
    <row r="17" ht="25.5" customHeight="1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Hecho</t>
        </is>
      </c>
      <c r="H17" s="12" t="inlineStr">
        <is>
          <t>21/08/2026</t>
        </is>
      </c>
      <c r="I17" s="13" t="inlineStr">
        <is>
          <t>Hecha. CamposT/metricas.py, sam(). ERRATA ENCONTRADA en la Ec. (16): el denominador impreso es integral I_ref y tiene que ser integral I_ref^2. Con la impresa, un campo identico a su referencia da 0.365 dB en vez de infinito y el SAM queda bajo 2.5 dB para todo, o sea que el paper no habria podido generar su propia Figura 4. Segunda errata, tras el A^2*B de la Ec. (14). sam(formula='literal') reproduce la impresa. 11 tests, mutacion 6/6.</t>
        </is>
      </c>
    </row>
    <row r="18" ht="25.5" customHeight="1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inlineStr">
        <is>
          <t>Sin empezar, vencida el 21/08. Es el insumo directo de las diapositivas del avance 1 (tarea 19): el material ya esta en el README y en los docstrings del paquete, falta pasarlo a texto de tesis.</t>
        </is>
      </c>
    </row>
    <row r="19" ht="25.5" customHeight="1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Pendiente</t>
        </is>
      </c>
      <c r="H19" s="12" t="inlineStr">
        <is>
          <t>28/08/2026</t>
        </is>
      </c>
      <c r="I19" s="13" t="n"/>
    </row>
    <row r="20" ht="25.5" customHeight="1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inlineStr">
        <is>
          <t>Sin estos parametros la Fase 2 (semanas 9 y 10) arranca simulando sobre valores inventados. Es la dependencia mas critica de la semana 7.</t>
        </is>
      </c>
    </row>
    <row r="21" ht="25.5" customHeight="1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Pendiente</t>
        </is>
      </c>
      <c r="H21" s="12" t="inlineStr">
        <is>
          <t>28/08/2026</t>
        </is>
      </c>
      <c r="I21" s="13" t="inlineStr">
        <is>
          <t>Depende de terceros: pedirla el lunes 24, no al final de la semana. Las semanas 9 a 11 son las unicas ventanas de laboratorio del cronograma.</t>
        </is>
      </c>
    </row>
    <row r="22" ht="25.5" customHeight="1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Pendiente</t>
        </is>
      </c>
      <c r="H22" s="12" t="inlineStr">
        <is>
          <t>28/08/2026</t>
        </is>
      </c>
      <c r="I22" s="13" t="n"/>
    </row>
    <row r="23" ht="25.5" customHeight="1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Pendiente</t>
        </is>
      </c>
      <c r="H23" s="12" t="inlineStr">
        <is>
          <t>28/08/2026</t>
        </is>
      </c>
      <c r="I23" s="13" t="n"/>
    </row>
    <row r="24" ht="25.5" customHeight="1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Pendiente</t>
        </is>
      </c>
      <c r="H24" s="15" t="inlineStr">
        <is>
          <t>31/08/2026</t>
        </is>
      </c>
      <c r="I24" s="16" t="n"/>
    </row>
    <row r="25" ht="25.5" customHeight="1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Pendiente</t>
        </is>
      </c>
      <c r="H25" s="15" t="inlineStr">
        <is>
          <t>31/08/2026</t>
        </is>
      </c>
      <c r="I25" s="16" t="n"/>
    </row>
    <row r="26" ht="25.5" customHeight="1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En curso</t>
        </is>
      </c>
      <c r="H27" s="12" t="inlineStr">
        <is>
          <t>18/09/2026</t>
        </is>
      </c>
      <c r="I27" s="13" t="inlineStr">
        <is>
          <t>Adelantada. figura_escenario.py (commit c6963d1) fija la primitiva: la lente f = -300 mm de la Tabla 1, aplicada sobre la cintura, deja el haz con R = 300 mm y la cintura intacta, o sea un pinhole virtual. Se modela el frente esferico divergente, no la lente. Falta pasar de la figura al desarrollo escrito.</t>
        </is>
      </c>
    </row>
    <row r="28" ht="25.5" customHeight="1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En curso</t>
        </is>
      </c>
      <c r="H28" s="12" t="inlineStr">
        <is>
          <t>18/09/2026</t>
        </is>
      </c>
      <c r="I28" s="13" t="inlineStr">
        <is>
          <t>La magnificacion geometrica ya existe: parametro mag de mpasm (r1, r2 de las Ecs. (7)-(8)), verificado en figura_escenario.py con malla de salida 6x. Falta la compensacion de fase de la iluminacion divergente.</t>
        </is>
      </c>
    </row>
    <row r="29" ht="25.5" customHeight="1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En curso</t>
        </is>
      </c>
      <c r="H29" s="12" t="inlineStr">
        <is>
          <t>18/09/2026</t>
        </is>
      </c>
      <c r="I29" s="13" t="inlineStr">
        <is>
          <t>Empezada por su mitad general: CamposT/retropropagacion.py (tarea 64) ya reconstruye sobre un barrido de z con los tres propagadores del paquete, pero asume iluminacion colimada. Falta lo especifico de DLHM: la fuente puntual divergente (magnificacion M = L/z y distancia efectiva, tarea 24) y el cuarto propagador.</t>
        </is>
      </c>
    </row>
    <row r="30" ht="25.5" customHeight="1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En curso</t>
        </is>
      </c>
      <c r="H30" s="12" t="inlineStr">
        <is>
          <t>18/09/2026</t>
        </is>
      </c>
      <c r="I30" s="13" t="inlineStr">
        <is>
          <t>ADELANTADA (era semana 9). Validacion de extremo a extremo sobre DLHM-model: holograma simulado con verdad-terreno conocida, retropropagado con MPASM. La fase reconstruida a la distancia nominal devuelve el target con los grupos de barras USAF y sus numeros legibles, sin ajustar parametros. Dos lecciones: el caso cae FUERA del rango de FFT-ASM (z_lim = 6.6 mm frente a z = 24 mm), y el criterio de autofoco depende del tipo de objeto (en fase hay que MINIMIZAR la varianza de amplitud, no maximizar nitidez). Falta versionarlo como scripts/reconstruccion_dlhm.py. Al 23/08 la maquinaria de retropropagacion ya esta versionada (tarea 64), asi que lo que queda es rehacer esa validacion llamando al paquete en vez del script suelto.</t>
        </is>
      </c>
    </row>
    <row r="31" ht="25.5" customHeight="1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En curso</t>
        </is>
      </c>
      <c r="H34" s="12" t="inlineStr">
        <is>
          <t>25/09/2026</t>
        </is>
      </c>
      <c r="I34" s="13" t="inlineStr">
        <is>
          <t>Primer criterio duro ya derivado, y metido en el codigo en vez de solo documentado: r*mag &lt;= s*Kf (mpasm._comprobar_ventana, tarea 63). Sale de que el espectro, muestreado cada 1/(s*N*delta*Kf), describe un campo que se repite cada s*N*delta*Kf, mientras la malla de salida abarca r*N*delta*mag. Falta el criterio de eleccion de s y Kf frente a z y NA, que es lo que dara el barrido de la tarea 30.</t>
        </is>
      </c>
    </row>
    <row r="35" ht="25.5" customHeight="1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 Se suma scripts/retro_fft_angular.py: la ida y vuelta con el angularSpectrum de pyDHM tal cual, en una sola pieza y sin importar CamposT, como contraste independiente del paquete. Deja medidos dos defectos del original: dfx y dfy cruzados (irrelevante en malla cuadrada, 2.95e-1 de error contra el gaussiano analitico en malla rectangular) y las evanescentes dejadas decaer, que al RETROPROPAGAR crecen en vez de decaer.</t>
        </is>
      </c>
    </row>
    <row r="36" ht="25.5" customHeight="1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0" ht="25.5" customHeight="1">
      <c r="A60" s="12" t="n">
        <v>57</v>
      </c>
      <c r="B60" s="12" t="n">
        <v>5</v>
      </c>
      <c r="C60" s="12" t="inlineStr">
        <is>
          <t>F1</t>
        </is>
      </c>
      <c r="D60" s="13" t="inlineStr">
        <is>
          <t>Benchmark CPU vs GPU: escalado con N y con el sobremuestreo s</t>
        </is>
      </c>
      <c r="E60" s="13" t="inlineStr">
        <is>
          <t>Curvas de tiempo y aceleracion</t>
        </is>
      </c>
      <c r="F60" s="12" t="inlineStr">
        <is>
          <t>Alta</t>
        </is>
      </c>
      <c r="G60" s="12" t="inlineStr">
        <is>
          <t>Hecho</t>
        </is>
      </c>
      <c r="H60" s="12" t="inlineStr">
        <is>
          <t>14/08/2026</t>
        </is>
      </c>
      <c r="I60" s="13" t="inlineStr">
        <is>
          <t>scripts/comparacion.py -&gt; resultados/tiempos.png, aceleracion.png, escalado_N.csv, escalado_s.csv. Separa la aceleracion por hardware (x) de la aceleracion a igual precision (x_iso) y reporta la fraccion del tiempo que se va en transferencias.</t>
        </is>
      </c>
    </row>
    <row r="61" ht="25.5" customHeight="1">
      <c r="A61" s="12" t="n">
        <v>58</v>
      </c>
      <c r="B61" s="12" t="n">
        <v>5</v>
      </c>
      <c r="C61" s="12" t="inlineStr">
        <is>
          <t>F1</t>
        </is>
      </c>
      <c r="D61" s="13" t="inlineStr">
        <is>
          <t>Parchar los repos de referencia y contrastar CamposT contra pyDHM</t>
        </is>
      </c>
      <c r="E61" s="13" t="inlineStr">
        <is>
          <t>Script de parches + tabla de contraste</t>
        </is>
      </c>
      <c r="F61" s="12" t="inlineStr">
        <is>
          <t>Media</t>
        </is>
      </c>
      <c r="G61" s="12" t="inlineStr">
        <is>
          <t>Hecho</t>
        </is>
      </c>
      <c r="H61" s="12" t="inlineStr">
        <is>
          <t>14/08/2026</t>
        </is>
      </c>
      <c r="I61" s="13" t="inlineStr">
        <is>
          <t>Commit 8aa0403. parchar_referencias.py: ocho parches idempotentes, ninguno cambia la fisica, con marca [parche TG] en cada linea tocada. contraste_referencias.py: fft_asm coincide con pyDHM.angularSpectrum a 1e-8.</t>
        </is>
      </c>
    </row>
    <row r="62" ht="25.5" customHeight="1">
      <c r="A62" s="12" t="n">
        <v>59</v>
      </c>
      <c r="B62" s="12" t="n">
        <v>6</v>
      </c>
      <c r="C62" s="12" t="inlineStr">
        <is>
          <t>F1</t>
        </is>
      </c>
      <c r="D62" s="13" t="inlineStr">
        <is>
          <t>Reproducir el escenario de la Tabla 1 (apertura y frente propagado)</t>
        </is>
      </c>
      <c r="E62" s="13" t="inlineStr">
        <is>
          <t>Figura del escenario</t>
        </is>
      </c>
      <c r="F62" s="12" t="inlineStr">
        <is>
          <t>Media</t>
        </is>
      </c>
      <c r="G62" s="12" t="inlineStr">
        <is>
          <t>Hecho</t>
        </is>
      </c>
      <c r="H62" s="12" t="inlineStr">
        <is>
          <t>21/08/2026</t>
        </is>
      </c>
      <c r="I62" s="13" t="inlineStr">
        <is>
          <t>Commit c6963d1, repartida en tres figuras por el commit 641861a: scripts/figura_escenario.py -&gt; resultados/escenario/apertura.png, frente_propagado.png y corte_axial.png. Insumo de la tarea 24: es donde se resuelve que la lente del paper es un pinhole virtual.</t>
        </is>
      </c>
    </row>
    <row r="63">
      <c r="A63" s="12" t="n">
        <v>60</v>
      </c>
      <c r="B63" s="12" t="n">
        <v>6</v>
      </c>
      <c r="C63" s="12" t="inlineStr">
        <is>
          <t>F1</t>
        </is>
      </c>
      <c r="D63" s="13" t="inlineStr">
        <is>
          <t>Corregir el factor 2 en la conversion del target USAF a lp/mm</t>
        </is>
      </c>
      <c r="E63" s="13" t="inlineStr">
        <is>
          <t>Geometria contrastada contra la imagen</t>
        </is>
      </c>
      <c r="F63" s="12" t="inlineStr">
        <is>
          <t>Alta</t>
        </is>
      </c>
      <c r="G63" s="12" t="inlineStr">
        <is>
          <t>Hecho</t>
        </is>
      </c>
      <c r="H63" s="12" t="inlineStr">
        <is>
          <t>21/08/2026</t>
        </is>
      </c>
      <c r="I63" s="13" t="inlineStr">
        <is>
          <t>periodos_usaf devolvia el ancho de barra llamandolo periodo. Un par de lineas es barra+hueco = 2b, asi que toda cifra de resolucion habria salido con factor 2. Alimenta directamente la tarea 40. Ahora anchos_barra_usaf / periodos_usaf / lineas_por_mm_usaf salen de una sola fuente, la misma con la que dibuja usaf_like.</t>
        </is>
      </c>
    </row>
    <row r="64">
      <c r="A64" s="12" t="n">
        <v>61</v>
      </c>
      <c r="B64" s="12" t="n">
        <v>6</v>
      </c>
      <c r="C64" s="12" t="inlineStr">
        <is>
          <t>F1</t>
        </is>
      </c>
      <c r="D64" s="13" t="inlineStr">
        <is>
          <t>Calcular K_fx y K_fy por eje para campos no cuadrados</t>
        </is>
      </c>
      <c r="E64" s="13" t="inlineStr">
        <is>
          <t>Propagador correcto en malla rectangular</t>
        </is>
      </c>
      <c r="F64" s="12" t="inlineStr">
        <is>
          <t>Alta</t>
        </is>
      </c>
      <c r="G64" s="12" t="inlineStr">
        <is>
          <t>Hecho</t>
        </is>
      </c>
      <c r="H64" s="12" t="inlineStr">
        <is>
          <t>21/08/2026</t>
        </is>
      </c>
      <c r="I64" s="13" t="inlineStr">
        <is>
          <t>La Tabla 1 los lista por separado y mpasm usaba uno solo. Kf va como ~1/sqrt(N), asi que el eje corto quedaba submuestreado en silencio. Con un target USAF en malla 64x128 el error es 5x a 63x mayor; con un gaussiano NO se aprecia, porque hace falta contenido cerca del limite de banda para que aparezca aliasing. Los sensores de DLHM no son cuadrados: esto habria aparecido en la semana 11.</t>
        </is>
      </c>
    </row>
    <row r="65">
      <c r="A65" s="12" t="n">
        <v>62</v>
      </c>
      <c r="B65" s="12" t="n">
        <v>6</v>
      </c>
      <c r="C65" s="12" t="inlineStr">
        <is>
          <t>F1</t>
        </is>
      </c>
      <c r="D65" s="13" t="inlineStr">
        <is>
          <t>Separar el paquete por responsabilidad (referencias, metricas, pipeline)</t>
        </is>
      </c>
      <c r="E65" s="13" t="inlineStr">
        <is>
          <t>Paquete navegable</t>
        </is>
      </c>
      <c r="F65" s="12" t="inlineStr">
        <is>
          <t>Media</t>
        </is>
      </c>
      <c r="G65" s="12" t="inlineStr">
        <is>
          <t>Hecho</t>
        </is>
      </c>
      <c r="H65" s="12" t="inlineStr">
        <is>
          <t>21/08/2026</t>
        </is>
      </c>
      <c r="I65" s="13" t="inlineStr">
        <is>
          <t>propagadores.py habia llegado a 539 lineas con cuatro asuntos dentro y campos.py mezclaba construir el campo con propagarlo y guardarlo. Ahora seis modulos de un tema cada uno, ninguno de mas de 235 lineas: campos, propagadores, referencias, metricas, pipeline y backend. 158 tests en verde antes y despues: el comportamiento no cambio.</t>
        </is>
      </c>
    </row>
    <row r="66">
      <c r="A66" s="12" t="n">
        <v>63</v>
      </c>
      <c r="B66" s="12" t="n">
        <v>6</v>
      </c>
      <c r="C66" s="12" t="inlineStr">
        <is>
          <t>F1</t>
        </is>
      </c>
      <c r="D66" s="13" t="inlineStr">
        <is>
          <t>Corregir Kf a distancia negativa y comprobar la ventana de salida de MPASM</t>
        </is>
      </c>
      <c r="E66" s="13" t="inlineStr">
        <is>
          <t>Propagador correcto al retropropagar</t>
        </is>
      </c>
      <c r="F66" s="12" t="inlineStr">
        <is>
          <t>Alta</t>
        </is>
      </c>
      <c r="G66" s="12" t="inlineStr">
        <is>
          <t>Hecho</t>
        </is>
      </c>
      <c r="H66" s="12" t="inlineStr">
        <is>
          <t>21/08/2026</t>
        </is>
      </c>
      <c r="I66" s="13" t="inlineStr">
        <is>
          <t>Commit f166a17. kf_auto aplicaba la Ec. (14) tal cual a z &lt; 0, donde fmax sale negativo y el max(1.0, ...) devuelve 1: la compresion quedaba apagada y MPASM corria como un FFT-ASM rellenado de ceros en TODA retropropagacion, sin avisar. Kf depende de |z| y no de z, porque H(-z) = conj(H(z)). Error contra la referencia a 400 mm: de 5.4 a 1.1e-2. Ademas _comprobar_ventana aborta si r*mag &gt; s*Kf; antes esa violacion devolvia copias periodicas del campo superpuestas, con error relativo 1.0 contra el gaussiano analitico y sin fallar ni avisar. Ese limite es el primer criterio operativo de la tarea 31. De 177 a 186 tests.</t>
        </is>
      </c>
    </row>
    <row r="67">
      <c r="A67" s="12" t="n">
        <v>64</v>
      </c>
      <c r="B67" s="12" t="n">
        <v>6</v>
      </c>
      <c r="C67" s="12" t="inlineStr">
        <is>
          <t>F2</t>
        </is>
      </c>
      <c r="D67" s="13" t="inlineStr">
        <is>
          <t>Retropropagacion de hologramas: modulo, CLI y suite de verificacion</t>
        </is>
      </c>
      <c r="E67" s="13" t="inlineStr">
        <is>
          <t>Reconstruccion sobre un barrido de z</t>
        </is>
      </c>
      <c r="F67" s="12" t="inlineStr">
        <is>
          <t>Alta</t>
        </is>
      </c>
      <c r="G67" s="12" t="inlineStr">
        <is>
          <t>Hecho</t>
        </is>
      </c>
      <c r="H67" s="12" t="inlineStr">
        <is>
          <t>21/08/2026</t>
        </is>
      </c>
      <c r="I67" s="13" t="inlineStr">
        <is>
          <t>ADELANTADA: es la mitad general de la tarea 26 (semana 9). CamposT/retropropagacion.py carga la imagen como INTENSIDAD medida (load_field mode='holograma', U = sqrt(I)), propaga a -z con los tres propagadores sobre un barrido de distancias y escribe resultados/retropropagacion/&lt;holograma&gt;/&lt;metodo&gt;/. CLI 'python -m CamposT.retropropagacion' y scripts/mi_holograma.py con constantes editables, que llama a su main() para que no puedan divergir. 19 tests: la reconstruccion RE-LOCALIZA el objeto (del 0.10 % al 7.5 % del contraste sobre una huella que es el 0.39 % del plano) y queda escrito que el signo NO se puede verificar sobre la intensidad, porque con entrada real |U(-z)|^2 = |U(+z)|^2 (medido: 3.5e-16): es la ambiguedad de la imagen gemela. Dos limites declarados: iluminacion colimada, sin la correccion de fuente puntual de DLHM, y sin supresion de la gemela. Commit b916792.</t>
        </is>
      </c>
    </row>
    <row r="69">
      <c r="D69" t="inlineStr">
        <is>
          <t>Ejemplo de uso: 'En curso' mientras trabajas la tarea, 'Bloqueado' si depende de un tercero (laboratorio, asesor).</t>
        </is>
      </c>
    </row>
  </sheetData>
  <autoFilter ref="A3:I62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min="1" max="1"/>
    <col width="12" customWidth="1" min="2" max="2"/>
    <col width="56" customWidth="1" min="3" max="3"/>
    <col width="18" customWidth="1" min="4" max="4"/>
  </cols>
  <sheetData>
    <row r="1" ht="21.75" customHeight="1">
      <c r="A1" s="22" t="inlineStr">
        <is>
          <t>Fechas institucionales confirmadas (Directrices 2026-2)</t>
        </is>
      </c>
    </row>
    <row r="3" ht="30" customHeight="1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5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2026-08-23T19:47:17Z</dcterms:modified>
  <cp:lastModifiedBy>Camilo Rodriguez Londoño</cp:lastModifiedBy>
  <cp:revision>0</cp:revision>
</cp:coreProperties>
</file>