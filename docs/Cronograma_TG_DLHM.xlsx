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name="Resumen" sheetId="1" state="visible" r:id="rId1"/>
    <sheet name="Cronograma" sheetId="2" state="visible" r:id="rId2"/>
    <sheet name="Tareas" sheetId="3" state="visible" r:id="rId3"/>
    <sheet name="Hitos" sheetId="4" state="visible" r:id="rId4"/>
  </sheets>
  <definedNames>
    <definedName name="_xlnm._FilterDatabase" localSheetId="2" hidden="1">'Tareas'!$A$3:$I$82</definedName>
  </definedNames>
  <calcPr calcId="191029" fullCalcOnLoad="1" iterateDelta="0.0001"/>
</workbook>
</file>

<file path=xl/styles.xml><?xml version="1.0" encoding="utf-8"?>
<styleSheet xmlns="http://schemas.openxmlformats.org/spreadsheetml/2006/main">
  <numFmts count="1">
    <numFmt numFmtId="164" formatCode="0.0%"/>
  </numFmts>
  <fonts count="7">
    <font>
      <name val="Calibri"/>
      <charset val="1"/>
      <family val="2"/>
      <color theme="1"/>
      <sz val="11"/>
    </font>
    <font>
      <name val="Arial"/>
      <charset val="1"/>
      <b val="1"/>
      <color rgb="FF1F3864"/>
      <sz val="14"/>
    </font>
    <font>
      <name val="Arial"/>
      <charset val="1"/>
      <b val="1"/>
      <sz val="10"/>
    </font>
    <font>
      <name val="Arial"/>
      <charset val="1"/>
      <sz val="10"/>
    </font>
    <font>
      <name val="Arial"/>
      <charset val="1"/>
      <b val="1"/>
      <color rgb="FF1F3864"/>
      <sz val="11"/>
    </font>
    <font>
      <name val="Arial"/>
      <charset val="1"/>
      <b val="1"/>
      <color rgb="FFFFFFFF"/>
      <sz val="10"/>
    </font>
    <font>
      <name val="Arial"/>
      <charset val="1"/>
      <i val="1"/>
      <sz val="9"/>
    </font>
  </fonts>
  <fills count="6">
    <fill>
      <patternFill/>
    </fill>
    <fill>
      <patternFill patternType="gray125"/>
    </fill>
    <fill>
      <patternFill patternType="solid">
        <fgColor rgb="FFF2F2F2"/>
        <bgColor rgb="FFFFFFFF"/>
      </patternFill>
    </fill>
    <fill>
      <patternFill patternType="solid">
        <fgColor rgb="FFFFF2CC"/>
        <bgColor rgb="FFF2F2F2"/>
      </patternFill>
    </fill>
    <fill>
      <patternFill patternType="solid">
        <fgColor rgb="FF1F3864"/>
        <bgColor rgb="FF333333"/>
      </patternFill>
    </fill>
    <fill>
      <patternFill patternType="solid">
        <fgColor rgb="FFD9E2F3"/>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0" fontId="2" fillId="0" borderId="0" applyAlignment="1" pivotButton="0" quotePrefix="0" xfId="0">
      <alignment horizontal="center"/>
    </xf>
    <xf numFmtId="164" fontId="2" fillId="3" borderId="0" applyAlignment="1" pivotButton="0" quotePrefix="0" xfId="0">
      <alignment horizontal="center"/>
    </xf>
    <xf numFmtId="0" fontId="5" fillId="4" borderId="0" applyAlignment="1" pivotButton="0" quotePrefix="0" xfId="0">
      <alignment horizontal="center"/>
    </xf>
    <xf numFmtId="0" fontId="3" fillId="0" borderId="0" applyAlignment="1" pivotButton="0" quotePrefix="0" xfId="0">
      <alignment horizontal="center"/>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9" fontId="3"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9"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9" fontId="2"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9" fontId="3" fillId="2" borderId="1" applyAlignment="1" pivotButton="0" quotePrefix="0" xfId="0">
      <alignment horizontal="center" vertical="center" wrapText="1"/>
    </xf>
    <xf numFmtId="0" fontId="1" fillId="0" borderId="0" pivotButton="0" quotePrefix="0" xfId="0"/>
    <xf numFmtId="0" fontId="0" fillId="0" borderId="0" pivotButton="0" quotePrefix="0" xfId="0"/>
    <xf numFmtId="0" fontId="3" fillId="0" borderId="0" pivotButton="0" quotePrefix="0" xfId="0"/>
    <xf numFmtId="0" fontId="6" fillId="0" borderId="0" pivotButton="0" quotePrefix="0" xfId="0"/>
  </cellXfs>
  <cellStyles count="1">
    <cellStyle name="Normal" xfId="0" builtinId="0"/>
  </cellStyles>
  <dxfs count="3">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006100"/>
        <sz val="1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tabSelected="1" zoomScaleNormal="100" workbookViewId="0">
      <selection activeCell="G11" sqref="G11"/>
    </sheetView>
  </sheetViews>
  <sheetFormatPr baseColWidth="10" defaultColWidth="8.6640625" defaultRowHeight="14.4"/>
  <cols>
    <col width="38" customWidth="1" style="22" min="1" max="1"/>
    <col width="18" customWidth="1" style="22" min="2" max="2"/>
    <col width="42.5546875" customWidth="1" style="22" min="3" max="3"/>
  </cols>
  <sheetData>
    <row r="1" ht="21.75" customHeight="1" s="22">
      <c r="A1" s="21" t="inlineStr">
        <is>
          <t>Trabajo de grado 2026-2 - Propagadores con control de muestreo en DLHM</t>
        </is>
      </c>
    </row>
    <row r="3" ht="15" customHeight="1" s="22">
      <c r="A3" s="2" t="inlineStr">
        <is>
          <t>Estudiante</t>
        </is>
      </c>
      <c r="B3" s="23" t="inlineStr">
        <is>
          <t>Camilo Rodriguez Londono</t>
        </is>
      </c>
      <c r="D3" t="inlineStr">
        <is>
          <t>COMO USAR ESTE ARCHIVO
1. La unica columna que se edita a diario es 'Estado' en la hoja Tareas (lista desplegable: Pendiente / En curso / Hecho / Bloqueado).
2. La hoja Cronograma calcula sola el avance de cada semana; no escribas en sus columnas de formula.
3. Usa la columna 'Notas' de la hoja Tareas para dejar constancia de bloqueos y decisiones.
4. Puedes agregar filas nuevas en Tareas hasta la fila 200 sin romper las formulas.
SUPUESTO A VERIFICAR: se asume que la semana de receso es del 7 al 11 de septiembre. Las fechas institucionales confirmadas son semana 8 = 31 de agosto, semana 14 = 19 de octubre y entrega final = 30 de octubre; si el receso cae en otra semana, corre las fechas intermedias.</t>
        </is>
      </c>
    </row>
    <row r="4">
      <c r="A4" s="2" t="inlineStr">
        <is>
          <t>Asesor principal</t>
        </is>
      </c>
      <c r="B4" s="23" t="inlineStr">
        <is>
          <t>Carlos Alejandro Trujillo Anaya, PhD</t>
        </is>
      </c>
    </row>
    <row r="5">
      <c r="A5" s="2" t="inlineStr">
        <is>
          <t>Programa</t>
        </is>
      </c>
      <c r="B5" s="23" t="inlineStr">
        <is>
          <t>Ingenieria Fisica - Universidad EAFIT</t>
        </is>
      </c>
    </row>
    <row r="6">
      <c r="A6" s="2" t="inlineStr">
        <is>
          <t>Modalidad de entrega</t>
        </is>
      </c>
      <c r="B6" s="23" t="inlineStr">
        <is>
          <t>Opcion 2 (grados de diciembre, sin mencion de honor)</t>
        </is>
      </c>
    </row>
    <row r="7">
      <c r="A7" s="2" t="inlineStr">
        <is>
          <t>Entrega del informe final</t>
        </is>
      </c>
      <c r="B7" s="23" t="inlineStr">
        <is>
          <t>Viernes 30 de octubre de 2026 (semana 15)</t>
        </is>
      </c>
    </row>
    <row r="8">
      <c r="A8" s="2" t="inlineStr">
        <is>
          <t>Defensa publica</t>
        </is>
      </c>
      <c r="B8" s="23" t="inlineStr">
        <is>
          <t>Hasta el viernes 20 de noviembre de 2026</t>
        </is>
      </c>
    </row>
    <row r="9">
      <c r="A9" s="2" t="inlineStr">
        <is>
          <t>Ultima revision del plan</t>
        </is>
      </c>
      <c r="B9" s="23" t="inlineStr">
        <is>
          <t>Martes 1 de septiembre de 2026 (semana 8, dia 2)</t>
        </is>
      </c>
    </row>
    <row r="10">
      <c r="A10" s="3" t="inlineStr">
        <is>
          <t>AVANCE GLOBAL</t>
        </is>
      </c>
    </row>
    <row r="11">
      <c r="A11" s="23" t="inlineStr">
        <is>
          <t>Tareas totales</t>
        </is>
      </c>
      <c r="B11" s="4">
        <f>COUNTA(Tareas!$A$4:$A$200)</f>
        <v/>
      </c>
    </row>
    <row r="12">
      <c r="A12" s="23" t="inlineStr">
        <is>
          <t>Tareas completadas</t>
        </is>
      </c>
      <c r="B12" s="4">
        <f>COUNTIF(Tareas!$G$4:$G$200,"Hecho")</f>
        <v/>
      </c>
    </row>
    <row r="13">
      <c r="A13" s="23" t="inlineStr">
        <is>
          <t>Tareas en curso</t>
        </is>
      </c>
      <c r="B13" s="4">
        <f>COUNTIF(Tareas!$G$4:$G$200,"En curso")</f>
        <v/>
      </c>
    </row>
    <row r="14">
      <c r="A14" s="23" t="inlineStr">
        <is>
          <t>Tareas bloqueadas</t>
        </is>
      </c>
      <c r="B14" s="4">
        <f>COUNTIF(Tareas!$G$4:$G$200,"Bloqueado")</f>
        <v/>
      </c>
    </row>
    <row r="15">
      <c r="A15" s="23" t="inlineStr">
        <is>
          <t>Porcentaje completado</t>
        </is>
      </c>
      <c r="B15" s="5">
        <f>IFERROR(B12/B11,0)</f>
        <v/>
      </c>
    </row>
    <row r="17">
      <c r="A17" s="3" t="inlineStr">
        <is>
          <t>AVANCE POR FASE</t>
        </is>
      </c>
    </row>
    <row r="18">
      <c r="A18" s="6" t="inlineStr">
        <is>
          <t>Fase</t>
        </is>
      </c>
      <c r="B18" s="6" t="inlineStr">
        <is>
          <t>Tareas</t>
        </is>
      </c>
      <c r="C18" s="6" t="inlineStr">
        <is>
          <t>Hechas</t>
        </is>
      </c>
    </row>
    <row r="19">
      <c r="A19" s="23" t="inlineStr">
        <is>
          <t>Fase 1 - Implementacion</t>
        </is>
      </c>
      <c r="B19" s="7">
        <f>COUNTIF(Tareas!$C$4:$C$200,"F1")</f>
        <v/>
      </c>
      <c r="C19" s="7">
        <f>COUNTIFS(Tareas!$C$4:$C$200,"F1",Tareas!$G$4:$G$200,"Hecho")</f>
        <v/>
      </c>
    </row>
    <row r="20">
      <c r="A20" s="23" t="inlineStr">
        <is>
          <t>Fase 2 - Calibracion numerica</t>
        </is>
      </c>
      <c r="B20" s="7">
        <f>COUNTIF(Tareas!$C$4:$C$200,"F2")</f>
        <v/>
      </c>
      <c r="C20" s="7">
        <f>COUNTIFS(Tareas!$C$4:$C$200,"F2",Tareas!$G$4:$G$200,"Hecho")</f>
        <v/>
      </c>
    </row>
    <row r="21">
      <c r="A21" s="23" t="inlineStr">
        <is>
          <t>Fase 3 - Registro experimental</t>
        </is>
      </c>
      <c r="B21" s="7">
        <f>COUNTIF(Tareas!$C$4:$C$200,"F3")</f>
        <v/>
      </c>
      <c r="C21" s="7">
        <f>COUNTIFS(Tareas!$C$4:$C$200,"F3",Tareas!$G$4:$G$200,"Hecho")</f>
        <v/>
      </c>
    </row>
    <row r="22">
      <c r="A22" s="23" t="inlineStr">
        <is>
          <t>Fase 4 - Comparacion y redaccion</t>
        </is>
      </c>
      <c r="B22" s="7">
        <f>COUNTIF(Tareas!$C$4:$C$200,"F4")</f>
        <v/>
      </c>
      <c r="C22" s="7">
        <f>COUNTIFS(Tareas!$C$4:$C$200,"F4",Tareas!$G$4:$G$200,"Hecho")</f>
        <v/>
      </c>
    </row>
    <row r="23">
      <c r="A23" s="23" t="inlineStr">
        <is>
          <t>Hitos institucionales</t>
        </is>
      </c>
      <c r="B23" s="7">
        <f>COUNTIF(Tareas!$C$4:$C$200,"HITO")</f>
        <v/>
      </c>
      <c r="C23" s="7">
        <f>COUNTIFS(Tareas!$C$4:$C$200,"HITO",Tareas!$G$4:$G$200,"Hecho")</f>
        <v/>
      </c>
    </row>
  </sheetData>
  <mergeCells count="8">
    <mergeCell ref="B6:C6"/>
    <mergeCell ref="B7:C7"/>
    <mergeCell ref="A1:C1"/>
    <mergeCell ref="B3:C3"/>
    <mergeCell ref="B5:C5"/>
    <mergeCell ref="B9:C9"/>
    <mergeCell ref="B8:C8"/>
    <mergeCell ref="B4:C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16"/>
  <sheetViews>
    <sheetView zoomScaleNormal="100" workbookViewId="0">
      <pane ySplit="3" topLeftCell="A4" activePane="bottomLeft" state="frozen"/>
      <selection pane="bottomLeft" activeCell="C9" sqref="C9"/>
    </sheetView>
  </sheetViews>
  <sheetFormatPr baseColWidth="10" defaultColWidth="8.6640625" defaultRowHeight="14.4"/>
  <cols>
    <col width="10" customWidth="1" style="22" min="1" max="1"/>
    <col width="18" customWidth="1" style="22" min="2" max="2"/>
    <col width="12" customWidth="1" style="22" min="3" max="3"/>
    <col width="44" customWidth="1" style="22" min="4" max="4"/>
    <col width="40" customWidth="1" style="22" min="5" max="5"/>
    <col width="32" customWidth="1" style="22" min="6" max="6"/>
    <col width="10" customWidth="1" style="22" min="7" max="7"/>
    <col width="12" customWidth="1" style="22" min="8" max="8"/>
  </cols>
  <sheetData>
    <row r="1" ht="21.75" customHeight="1" s="22">
      <c r="A1" s="21" t="inlineStr">
        <is>
          <t>Cronograma semana a semana</t>
        </is>
      </c>
    </row>
    <row r="3" ht="30" customHeight="1" s="22">
      <c r="A3" s="8" t="inlineStr">
        <is>
          <t>Semana</t>
        </is>
      </c>
      <c r="B3" s="8" t="inlineStr">
        <is>
          <t>Fechas</t>
        </is>
      </c>
      <c r="C3" s="8" t="inlineStr">
        <is>
          <t>Fase</t>
        </is>
      </c>
      <c r="D3" s="8" t="inlineStr">
        <is>
          <t>Foco de la semana</t>
        </is>
      </c>
      <c r="E3" s="8" t="inlineStr">
        <is>
          <t>Entregable de la semana</t>
        </is>
      </c>
      <c r="F3" s="8" t="inlineStr">
        <is>
          <t>Hito institucional</t>
        </is>
      </c>
      <c r="G3" s="8" t="inlineStr">
        <is>
          <t>Tareas</t>
        </is>
      </c>
      <c r="H3" s="8" t="inlineStr">
        <is>
          <t>Avance</t>
        </is>
      </c>
    </row>
    <row r="4" ht="33.75" customHeight="1" s="22">
      <c r="A4" s="9" t="n">
        <v>4</v>
      </c>
      <c r="B4" s="9" t="inlineStr">
        <is>
          <t>3 - 7 ago</t>
        </is>
      </c>
      <c r="C4" s="9" t="inlineStr">
        <is>
          <t>Fase 1</t>
        </is>
      </c>
      <c r="D4" s="10" t="inlineStr">
        <is>
          <t>Reproducibilidad del codigo base</t>
        </is>
      </c>
      <c r="E4" s="10" t="inlineStr">
        <is>
          <t>Decision sobre el repositorio de Zhao</t>
        </is>
      </c>
      <c r="F4" s="10" t="n"/>
      <c r="G4" s="9">
        <f>COUNTIF(Tareas!$B$4:$B$200,$A4)</f>
        <v/>
      </c>
      <c r="H4" s="11">
        <f>IFERROR(COUNTIFS(Tareas!$B$4:$B$200,$A4,Tareas!$G$4:$G$200,"Hecho")/G4,0)</f>
        <v/>
      </c>
    </row>
    <row r="5" ht="33.75" customHeight="1" s="22">
      <c r="A5" s="12" t="n">
        <v>5</v>
      </c>
      <c r="B5" s="12" t="inlineStr">
        <is>
          <t>10 - 14 ago</t>
        </is>
      </c>
      <c r="C5" s="12" t="inlineStr">
        <is>
          <t>Fase 1</t>
        </is>
      </c>
      <c r="D5" s="13" t="inlineStr">
        <is>
          <t>FFT-ASM y BLAS bajo interfaz comun</t>
        </is>
      </c>
      <c r="E5" s="13" t="inlineStr">
        <is>
          <t>Dos propagadores verificados</t>
        </is>
      </c>
      <c r="F5" s="13" t="n"/>
      <c r="G5" s="12">
        <f>COUNTIF(Tareas!$B$4:$B$200,$A5)</f>
        <v/>
      </c>
      <c r="H5" s="14">
        <f>IFERROR(COUNTIFS(Tareas!$B$4:$B$200,$A5,Tareas!$G$4:$G$200,"Hecho")/G5,0)</f>
        <v/>
      </c>
    </row>
    <row r="6" ht="33.75" customHeight="1" s="22">
      <c r="A6" s="9" t="n">
        <v>6</v>
      </c>
      <c r="B6" s="9" t="inlineStr">
        <is>
          <t>17 - 21 ago</t>
        </is>
      </c>
      <c r="C6" s="9" t="inlineStr">
        <is>
          <t>Fase 1</t>
        </is>
      </c>
      <c r="D6" s="10" t="inlineStr">
        <is>
          <t>MPASM y verificacion analitica</t>
        </is>
      </c>
      <c r="E6" s="10" t="inlineStr">
        <is>
          <t>Objetivo 1 cerrado</t>
        </is>
      </c>
      <c r="F6" s="10" t="n"/>
      <c r="G6" s="9">
        <f>COUNTIF(Tareas!$B$4:$B$200,$A6)</f>
        <v/>
      </c>
      <c r="H6" s="11">
        <f>IFERROR(COUNTIFS(Tareas!$B$4:$B$200,$A6,Tareas!$G$4:$G$200,"Hecho")/G6,0)</f>
        <v/>
      </c>
    </row>
    <row r="7" ht="33.75" customHeight="1" s="22">
      <c r="A7" s="12" t="n">
        <v>7</v>
      </c>
      <c r="B7" s="12" t="inlineStr">
        <is>
          <t>24 - 28 ago</t>
        </is>
      </c>
      <c r="C7" s="12" t="inlineStr">
        <is>
          <t>Fase 1 / 3</t>
        </is>
      </c>
      <c r="D7" s="13" t="inlineStr">
        <is>
          <t>Montaje DLHM y parametros reales</t>
        </is>
      </c>
      <c r="E7" s="13" t="inlineStr">
        <is>
          <t>Hoja de parametros del montaje</t>
        </is>
      </c>
      <c r="F7" s="13" t="n"/>
      <c r="G7" s="12">
        <f>COUNTIF(Tareas!$B$4:$B$200,$A7)</f>
        <v/>
      </c>
      <c r="H7" s="14">
        <f>IFERROR(COUNTIFS(Tareas!$B$4:$B$200,$A7,Tareas!$G$4:$G$200,"Hecho")/G7,0)</f>
        <v/>
      </c>
    </row>
    <row r="8" ht="33.75" customHeight="1" s="22">
      <c r="A8" s="15" t="n">
        <v>8</v>
      </c>
      <c r="B8" s="15" t="inlineStr">
        <is>
          <t>31 ago - 4 sep</t>
        </is>
      </c>
      <c r="C8" s="15" t="inlineStr">
        <is>
          <t>Hito</t>
        </is>
      </c>
      <c r="D8" s="16" t="inlineStr">
        <is>
          <t>Informe de avance 1</t>
        </is>
      </c>
      <c r="E8" s="16" t="inlineStr">
        <is>
          <t>Exposicion (5 %)</t>
        </is>
      </c>
      <c r="F8" s="16" t="inlineStr">
        <is>
          <t>Informe de avance 1: 31 de agosto</t>
        </is>
      </c>
      <c r="G8" s="15">
        <f>COUNTIF(Tareas!$B$4:$B$200,$A8)</f>
        <v/>
      </c>
      <c r="H8" s="17">
        <f>IFERROR(COUNTIFS(Tareas!$B$4:$B$200,$A8,Tareas!$G$4:$G$200,"Hecho")/G8,0)</f>
        <v/>
      </c>
    </row>
    <row r="9" ht="33.75" customHeight="1" s="22">
      <c r="A9" s="18" t="inlineStr">
        <is>
          <t>Receso</t>
        </is>
      </c>
      <c r="B9" s="18" t="inlineStr">
        <is>
          <t>7 - 11 sep</t>
        </is>
      </c>
      <c r="C9" s="18" t="inlineStr">
        <is>
          <t>Receso</t>
        </is>
      </c>
      <c r="D9" s="19" t="inlineStr">
        <is>
          <t>Semana de receso (verificar calendario)</t>
        </is>
      </c>
      <c r="E9" s="19" t="inlineStr">
        <is>
          <t>Colchon del cronograma</t>
        </is>
      </c>
      <c r="F9" s="19" t="n"/>
      <c r="G9" s="18">
        <f>COUNTIF(Tareas!$B$4:$B$200,$A9)</f>
        <v/>
      </c>
      <c r="H9" s="20">
        <f>IFERROR(COUNTIFS(Tareas!$B$4:$B$200,$A9,Tareas!$G$4:$G$200,"Hecho")/G9,0)</f>
        <v/>
      </c>
    </row>
    <row r="10" ht="33.75" customHeight="1" s="22">
      <c r="A10" s="9" t="n">
        <v>9</v>
      </c>
      <c r="B10" s="9" t="inlineStr">
        <is>
          <t>14 - 18 sep</t>
        </is>
      </c>
      <c r="C10" s="9" t="inlineStr">
        <is>
          <t>Fase 2</t>
        </is>
      </c>
      <c r="D10" s="10" t="inlineStr">
        <is>
          <t>Iluminacion esferica en el esquema</t>
        </is>
      </c>
      <c r="E10" s="10" t="inlineStr">
        <is>
          <t>Pipeline DLHM validado en simulacion</t>
        </is>
      </c>
      <c r="F10" s="10" t="n"/>
      <c r="G10" s="9">
        <f>COUNTIF(Tareas!$B$4:$B$200,$A10)</f>
        <v/>
      </c>
      <c r="H10" s="11">
        <f>IFERROR(COUNTIFS(Tareas!$B$4:$B$200,$A10,Tareas!$G$4:$G$200,"Hecho")/G10,0)</f>
        <v/>
      </c>
    </row>
    <row r="11" ht="33.75" customHeight="1" s="22">
      <c r="A11" s="12" t="n">
        <v>10</v>
      </c>
      <c r="B11" s="12" t="inlineStr">
        <is>
          <t>21 - 25 sep</t>
        </is>
      </c>
      <c r="C11" s="12" t="inlineStr">
        <is>
          <t>Fase 2</t>
        </is>
      </c>
      <c r="D11" s="13" t="inlineStr">
        <is>
          <t>Barrido de parametros y mapas de error</t>
        </is>
      </c>
      <c r="E11" s="13" t="inlineStr">
        <is>
          <t>Objetivo 2 cerrado</t>
        </is>
      </c>
      <c r="F11" s="13" t="n"/>
      <c r="G11" s="12">
        <f>COUNTIF(Tareas!$B$4:$B$200,$A11)</f>
        <v/>
      </c>
      <c r="H11" s="14">
        <f>IFERROR(COUNTIFS(Tareas!$B$4:$B$200,$A11,Tareas!$G$4:$G$200,"Hecho")/G11,0)</f>
        <v/>
      </c>
    </row>
    <row r="12" ht="33.75" customHeight="1" s="22">
      <c r="A12" s="9" t="n">
        <v>11</v>
      </c>
      <c r="B12" s="9" t="inlineStr">
        <is>
          <t>28 sep - 2 oct</t>
        </is>
      </c>
      <c r="C12" s="9" t="inlineStr">
        <is>
          <t>Fase 3</t>
        </is>
      </c>
      <c r="D12" s="10" t="inlineStr">
        <is>
          <t>Registro experimental de hologramas</t>
        </is>
      </c>
      <c r="E12" s="10" t="inlineStr">
        <is>
          <t>Dataset documentado</t>
        </is>
      </c>
      <c r="F12" s="10" t="n"/>
      <c r="G12" s="9">
        <f>COUNTIF(Tareas!$B$4:$B$200,$A12)</f>
        <v/>
      </c>
      <c r="H12" s="11">
        <f>IFERROR(COUNTIFS(Tareas!$B$4:$B$200,$A12,Tareas!$G$4:$G$200,"Hecho")/G12,0)</f>
        <v/>
      </c>
    </row>
    <row r="13" ht="33.75" customHeight="1" s="22">
      <c r="A13" s="12" t="n">
        <v>12</v>
      </c>
      <c r="B13" s="12" t="inlineStr">
        <is>
          <t>5 - 9 oct</t>
        </is>
      </c>
      <c r="C13" s="12" t="inlineStr">
        <is>
          <t>Fase 4</t>
        </is>
      </c>
      <c r="D13" s="13" t="inlineStr">
        <is>
          <t>Reconstruccion y metricas comparativas</t>
        </is>
      </c>
      <c r="E13" s="13" t="inlineStr">
        <is>
          <t>Tabla comparativa completa</t>
        </is>
      </c>
      <c r="F13" s="13" t="n"/>
      <c r="G13" s="12">
        <f>COUNTIF(Tareas!$B$4:$B$200,$A13)</f>
        <v/>
      </c>
      <c r="H13" s="14">
        <f>IFERROR(COUNTIFS(Tareas!$B$4:$B$200,$A13,Tareas!$G$4:$G$200,"Hecho")/G13,0)</f>
        <v/>
      </c>
    </row>
    <row r="14" ht="33.75" customHeight="1" s="22">
      <c r="A14" s="9" t="n">
        <v>13</v>
      </c>
      <c r="B14" s="9" t="inlineStr">
        <is>
          <t>12 - 16 oct</t>
        </is>
      </c>
      <c r="C14" s="9" t="inlineStr">
        <is>
          <t>Fase 4</t>
        </is>
      </c>
      <c r="D14" s="10" t="inlineStr">
        <is>
          <t>Redaccion de resultados y analisis</t>
        </is>
      </c>
      <c r="E14" s="10" t="inlineStr">
        <is>
          <t>Borrador completo al asesor</t>
        </is>
      </c>
      <c r="F14" s="10" t="n"/>
      <c r="G14" s="9">
        <f>COUNTIF(Tareas!$B$4:$B$200,$A14)</f>
        <v/>
      </c>
      <c r="H14" s="11">
        <f>IFERROR(COUNTIFS(Tareas!$B$4:$B$200,$A14,Tareas!$G$4:$G$200,"Hecho")/G14,0)</f>
        <v/>
      </c>
    </row>
    <row r="15" ht="33.75" customHeight="1" s="22">
      <c r="A15" s="15" t="n">
        <v>14</v>
      </c>
      <c r="B15" s="15" t="inlineStr">
        <is>
          <t>19 - 23 oct</t>
        </is>
      </c>
      <c r="C15" s="15" t="inlineStr">
        <is>
          <t>Hito</t>
        </is>
      </c>
      <c r="D15" s="16" t="inlineStr">
        <is>
          <t>Informe de avance 2 y correcciones</t>
        </is>
      </c>
      <c r="E15" s="16" t="inlineStr">
        <is>
          <t>Documento completo v1</t>
        </is>
      </c>
      <c r="F15" s="16" t="inlineStr">
        <is>
          <t>Informe de avance 2: 19 de octubre</t>
        </is>
      </c>
      <c r="G15" s="15">
        <f>COUNTIF(Tareas!$B$4:$B$200,$A15)</f>
        <v/>
      </c>
      <c r="H15" s="17">
        <f>IFERROR(COUNTIFS(Tareas!$B$4:$B$200,$A15,Tareas!$G$4:$G$200,"Hecho")/G15,0)</f>
        <v/>
      </c>
    </row>
    <row r="16" ht="33.75" customHeight="1" s="22">
      <c r="A16" s="15" t="n">
        <v>15</v>
      </c>
      <c r="B16" s="15" t="inlineStr">
        <is>
          <t>26 - 30 oct</t>
        </is>
      </c>
      <c r="C16" s="15" t="inlineStr">
        <is>
          <t>Cierre</t>
        </is>
      </c>
      <c r="D16" s="16" t="inlineStr">
        <is>
          <t>Revision final y entrega</t>
        </is>
      </c>
      <c r="E16" s="16" t="inlineStr">
        <is>
          <t>Informe final + carta de aval</t>
        </is>
      </c>
      <c r="F16" s="16" t="inlineStr">
        <is>
          <t>ENTREGA FINAL: 30 de octubre</t>
        </is>
      </c>
      <c r="G16" s="15">
        <f>COUNTIF(Tareas!$B$4:$B$200,$A16)</f>
        <v/>
      </c>
      <c r="H16" s="17">
        <f>IFERROR(COUNTIFS(Tareas!$B$4:$B$200,$A16,Tareas!$G$4:$G$200,"Hecho")/G16,0)</f>
        <v/>
      </c>
    </row>
  </sheetData>
  <mergeCells count="1">
    <mergeCell ref="A1:H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I82"/>
  <sheetViews>
    <sheetView zoomScaleNormal="100" workbookViewId="0">
      <pane ySplit="3" topLeftCell="A4" activePane="bottomLeft" state="frozen"/>
      <selection pane="bottomLeft" activeCell="D12" sqref="D12"/>
    </sheetView>
  </sheetViews>
  <sheetFormatPr baseColWidth="10" defaultColWidth="8.6640625" defaultRowHeight="14.4"/>
  <cols>
    <col width="7" customWidth="1" style="22" min="1" max="1"/>
    <col width="10" customWidth="1" style="22" min="2" max="2"/>
    <col width="9" customWidth="1" style="22" min="3" max="3"/>
    <col width="62" customWidth="1" style="22" min="4" max="4"/>
    <col width="30" customWidth="1" style="22" min="5" max="5"/>
    <col width="12" customWidth="1" style="22" min="6" max="6"/>
    <col width="14" customWidth="1" style="22" min="7" max="8"/>
    <col width="34" customWidth="1" style="22" min="9" max="9"/>
  </cols>
  <sheetData>
    <row r="1" ht="21.75" customHeight="1" s="22">
      <c r="A1" s="21" t="inlineStr">
        <is>
          <t>Lista de tareas - editar solo la columna Estado</t>
        </is>
      </c>
    </row>
    <row r="3" ht="30" customHeight="1" s="22">
      <c r="A3" s="8" t="inlineStr">
        <is>
          <t>ID</t>
        </is>
      </c>
      <c r="B3" s="8" t="inlineStr">
        <is>
          <t>Semana</t>
        </is>
      </c>
      <c r="C3" s="8" t="inlineStr">
        <is>
          <t>Fase</t>
        </is>
      </c>
      <c r="D3" s="8" t="inlineStr">
        <is>
          <t>Tarea</t>
        </is>
      </c>
      <c r="E3" s="8" t="inlineStr">
        <is>
          <t>Entregable</t>
        </is>
      </c>
      <c r="F3" s="8" t="inlineStr">
        <is>
          <t>Prioridad</t>
        </is>
      </c>
      <c r="G3" s="8" t="inlineStr">
        <is>
          <t>Estado</t>
        </is>
      </c>
      <c r="H3" s="8" t="inlineStr">
        <is>
          <t>Fecha limite</t>
        </is>
      </c>
      <c r="I3" s="8" t="inlineStr">
        <is>
          <t>Notas</t>
        </is>
      </c>
    </row>
    <row r="4" ht="25.5" customHeight="1" s="22">
      <c r="A4" s="12" t="n">
        <v>1</v>
      </c>
      <c r="B4" s="12" t="n">
        <v>4</v>
      </c>
      <c r="C4" s="12" t="inlineStr">
        <is>
          <t>F1</t>
        </is>
      </c>
      <c r="D4" s="13" t="inlineStr">
        <is>
          <t>Consolidar correcciones y preguntas surgidas en la sustentacion</t>
        </is>
      </c>
      <c r="E4" s="13" t="inlineStr">
        <is>
          <t>Lista de ajustes acordados</t>
        </is>
      </c>
      <c r="F4" s="12" t="inlineStr">
        <is>
          <t>Alta</t>
        </is>
      </c>
      <c r="G4" s="12" t="inlineStr">
        <is>
          <t>Hecho</t>
        </is>
      </c>
      <c r="H4" s="12" t="inlineStr">
        <is>
          <t>07/08/2026</t>
        </is>
      </c>
      <c r="I4" s="13" t="inlineStr">
        <is>
          <t>CERRADA el 31/08. Los ajustes acordados en la sustentacion se responden en el material del avance 1. Estuvo abierta 24 dias mas alla de su fecha (07/08): es la tarea que mas tiempo llevo sin cerrar.</t>
        </is>
      </c>
    </row>
    <row r="5" ht="25.5" customHeight="1" s="22">
      <c r="A5" s="12" t="n">
        <v>2</v>
      </c>
      <c r="B5" s="12" t="n">
        <v>4</v>
      </c>
      <c r="C5" s="12" t="inlineStr">
        <is>
          <t>F1</t>
        </is>
      </c>
      <c r="D5" s="13" t="inlineStr">
        <is>
          <t>Clonar repositorio Figshare (Zhao 2020) y montar entorno Python</t>
        </is>
      </c>
      <c r="E5" s="13" t="inlineStr">
        <is>
          <t>Entorno reproducible</t>
        </is>
      </c>
      <c r="F5" s="12" t="inlineStr">
        <is>
          <t>Alta</t>
        </is>
      </c>
      <c r="G5" s="12" t="inlineStr">
        <is>
          <t>Hecho</t>
        </is>
      </c>
      <c r="H5" s="12" t="inlineStr">
        <is>
          <t>07/08/2026</t>
        </is>
      </c>
      <c r="I5" s="13" t="n"/>
    </row>
    <row r="6" ht="25.5" customHeight="1" s="22">
      <c r="A6" s="12" t="n">
        <v>3</v>
      </c>
      <c r="B6" s="12" t="n">
        <v>4</v>
      </c>
      <c r="C6" s="12" t="inlineStr">
        <is>
          <t>F1</t>
        </is>
      </c>
      <c r="D6" s="13" t="inlineStr">
        <is>
          <t>Reproducir la Figura 4 del paper con el codigo publicado</t>
        </is>
      </c>
      <c r="E6" s="13" t="inlineStr">
        <is>
          <t>Notebook de reproduccion</t>
        </is>
      </c>
      <c r="F6" s="12" t="inlineStr">
        <is>
          <t>Alta</t>
        </is>
      </c>
      <c r="G6" s="12" t="inlineStr">
        <is>
          <t>Hecho</t>
        </is>
      </c>
      <c r="H6" s="12" t="inlineStr">
        <is>
          <t>07/08/2026</t>
        </is>
      </c>
      <c r="I6" s="13" t="inlineStr">
        <is>
          <t>CERRADA el 23/08 (commit ea3a7a8). scripts/exactitud.py hace un solo barrido de 30 distancias -las siete de la tabla del paper mas una rejilla logaritmica entre ellas- y escribe resultados/exactitud/sam_vs_z.csv y sam_vs_z.png. La curva es la reproduccion de la Figura 4: MPASM entre 31 y 48 dB en todo el rango, FFT-ASM cayendo hasta -1.85 dB y BL-ASM degradandose y recuperandose cuando su mascara empieza a actuar. La vertical de la figura marca los 11.4 m a los que el radio 1/e del haz llena la ventana, que es donde FFT-ASM se desploma. Reproducida con CamposT, no con el codigo publicado: ese camino se cerro en la tarea 4 (port propio) y el contraste contra terceros vive en la tarea 58.</t>
        </is>
      </c>
    </row>
    <row r="7" ht="25.5" customHeight="1" s="22">
      <c r="A7" s="12" t="n">
        <v>4</v>
      </c>
      <c r="B7" s="12" t="n">
        <v>4</v>
      </c>
      <c r="C7" s="12" t="inlineStr">
        <is>
          <t>F1</t>
        </is>
      </c>
      <c r="D7" s="13" t="inlineStr">
        <is>
          <t>Documentar discrepancias y decidir si se reutiliza el codigo</t>
        </is>
      </c>
      <c r="E7" s="13" t="inlineStr">
        <is>
          <t>Decision go / no-go</t>
        </is>
      </c>
      <c r="F7" s="12" t="inlineStr">
        <is>
          <t>Alta</t>
        </is>
      </c>
      <c r="G7" s="12" t="inlineStr">
        <is>
          <t>Hecho</t>
        </is>
      </c>
      <c r="H7" s="12" t="inlineStr">
        <is>
          <t>07/08/2026</t>
        </is>
      </c>
      <c r="I7" s="13" t="inlineStr">
        <is>
          <t>Decidido: port propio a CamposT/propagadores.py en vez de reutilizar el codigo publicado. Se corrigio la Ec. (14): el codigo original usa A**2 * B donde el paper dice A**2 + B (ver kf_auto, formula='codigo' reproduce el bug).</t>
        </is>
      </c>
    </row>
    <row r="8" ht="25.5" customHeight="1" s="22">
      <c r="A8" s="12" t="n">
        <v>5</v>
      </c>
      <c r="B8" s="12" t="n">
        <v>4</v>
      </c>
      <c r="C8" s="12" t="inlineStr">
        <is>
          <t>F1</t>
        </is>
      </c>
      <c r="D8" s="13" t="inlineStr">
        <is>
          <t>Acordar con el asesor la agenda de reuniones semanales</t>
        </is>
      </c>
      <c r="E8" s="13" t="inlineStr">
        <is>
          <t>Agenda fijada</t>
        </is>
      </c>
      <c r="F8" s="12" t="inlineStr">
        <is>
          <t>Media</t>
        </is>
      </c>
      <c r="G8" s="12" t="inlineStr">
        <is>
          <t>Hecho</t>
        </is>
      </c>
      <c r="H8" s="12" t="inlineStr">
        <is>
          <t>07/08/2026</t>
        </is>
      </c>
      <c r="I8" s="13" t="n"/>
    </row>
    <row r="9" ht="25.5" customHeight="1" s="22">
      <c r="A9" s="12" t="n">
        <v>6</v>
      </c>
      <c r="B9" s="12" t="n">
        <v>5</v>
      </c>
      <c r="C9" s="12" t="inlineStr">
        <is>
          <t>F1</t>
        </is>
      </c>
      <c r="D9" s="13" t="inlineStr">
        <is>
          <t>Definir la interfaz comun del modulo (firma unica de propagacion)</t>
        </is>
      </c>
      <c r="E9" s="13" t="inlineStr">
        <is>
          <t>Especificacion de API</t>
        </is>
      </c>
      <c r="F9" s="12" t="inlineStr">
        <is>
          <t>Alta</t>
        </is>
      </c>
      <c r="G9" s="12" t="inlineStr">
        <is>
          <t>Hecho</t>
        </is>
      </c>
      <c r="H9" s="12" t="inlineStr">
        <is>
          <t>14/08/2026</t>
        </is>
      </c>
      <c r="I9" s="13" t="inlineStr">
        <is>
          <t>Hecha. La interfaz comun es pipeline.propagar(U0, delta, lamb, z, metodo, pad, device, dtype) -&gt; (campo, info), uniforme para los tres metodos. Las funciones de bajo nivel conservan su retorno propio a proposito: mpasm devuelve Kf porque es un resultado del metodo, no un detalle de implementacion.</t>
        </is>
      </c>
    </row>
    <row r="10" ht="25.5" customHeight="1" s="22">
      <c r="A10" s="12" t="n">
        <v>7</v>
      </c>
      <c r="B10" s="12" t="n">
        <v>5</v>
      </c>
      <c r="C10" s="12" t="inlineStr">
        <is>
          <t>F1</t>
        </is>
      </c>
      <c r="D10" s="13" t="inlineStr">
        <is>
          <t>Implementar FFT-ASM</t>
        </is>
      </c>
      <c r="E10" s="13" t="inlineStr">
        <is>
          <t>Propagador funcional</t>
        </is>
      </c>
      <c r="F10" s="12" t="inlineStr">
        <is>
          <t>Alta</t>
        </is>
      </c>
      <c r="G10" s="12" t="inlineStr">
        <is>
          <t>Hecho</t>
        </is>
      </c>
      <c r="H10" s="12" t="inlineStr">
        <is>
          <t>14/08/2026</t>
        </is>
      </c>
      <c r="I10" s="13" t="inlineStr">
        <is>
          <t>CamposT/propagadores.py, fft_asm(). Revisado el 23/08 (commit c5fd678): aplica la transferencia in situ en vez de materializar H y multiplicar, que pedia dos arrays del tamano del plano de mas. Bit a bit identico, +4 % CPU y +7.6 % GPU. Corregido otra vez en la semana 7: ver tarea 66 (la rejilla de frecuencias estaba medio paso corrida en malla impar).</t>
        </is>
      </c>
    </row>
    <row r="11" ht="25.5" customHeight="1" s="22">
      <c r="A11" s="12" t="n">
        <v>8</v>
      </c>
      <c r="B11" s="12" t="n">
        <v>5</v>
      </c>
      <c r="C11" s="12" t="inlineStr">
        <is>
          <t>F1</t>
        </is>
      </c>
      <c r="D11" s="13" t="inlineStr">
        <is>
          <t>Implementar BLAS (espectro angular de banda limitada)</t>
        </is>
      </c>
      <c r="E11" s="13" t="inlineStr">
        <is>
          <t>Propagador funcional</t>
        </is>
      </c>
      <c r="F11" s="12" t="inlineStr">
        <is>
          <t>Alta</t>
        </is>
      </c>
      <c r="G11" s="12" t="inlineStr">
        <is>
          <t>Hecho</t>
        </is>
      </c>
      <c r="H11" s="12" t="inlineStr">
        <is>
          <t>14/08/2026</t>
        </is>
      </c>
      <c r="I11" s="13" t="inlineStr">
        <is>
          <t>CamposT/propagadores.py, blas() - Matsushima &amp; Shimobaba (2009). Revisado el 23/08 (commit c5fd678): el limite de banda es un rectangulo centrado, asi que se anulan las cuatro bandas de fuera por rodajas en vez de construir H, dos meshgrid y una mascara. Bit a bit identico, +8.3 % CPU y +17.4 % GPU, y 1.6 GB menos de picos sobre una malla de 6000x8000. Corregido otra vez en la semana 7: ver tarea 66 (la misma rejilla medio paso corrida que fft_asm).</t>
        </is>
      </c>
    </row>
    <row r="12" ht="25.5" customHeight="1" s="22">
      <c r="A12" s="12" t="n">
        <v>9</v>
      </c>
      <c r="B12" s="12" t="n">
        <v>5</v>
      </c>
      <c r="C12" s="12" t="inlineStr">
        <is>
          <t>F1</t>
        </is>
      </c>
      <c r="D12" s="13" t="inlineStr">
        <is>
          <t>Tests unitarios: energia, caso z=0, reversibilidad</t>
        </is>
      </c>
      <c r="E12" s="13" t="inlineStr">
        <is>
          <t>Suite de tests</t>
        </is>
      </c>
      <c r="F12" s="12" t="inlineStr">
        <is>
          <t>Media</t>
        </is>
      </c>
      <c r="G12" s="12" t="inlineStr">
        <is>
          <t>Hecho</t>
        </is>
      </c>
      <c r="H12" s="12" t="inlineStr">
        <is>
          <t>14/08/2026</t>
        </is>
      </c>
      <c r="I12" s="13" t="inlineStr">
        <is>
          <t>tests/test_propagadores.py + tests/conftest.py. Cubre z=0, energia, reversibilidad, MPASM con Kf&gt;1, paridad CPU/GPU, kf_auto y la funcion de transferencia. Validada por mutacion: 6 bugs inyectados, 6 detectados. Correr con: python -m pytest La suite fue creciendo con el paquete: 119 casos al crearse, 186 y 213 el 23/08 (retropropagacion y pipeline). AL 31/08 VA POR 299 CASOS EN VERDE en 56 s: los nuevos vienen de la rejilla centrada (16, tarea 66), el modo mixto, las fases de la retropropagacion, la nitidez, el pico de foco y la intensidad sin gamma. CERRADO el 01/09 lo de tests/mi_test.py (tarea 72): no costaba 12.2 s, COLGABA la recoleccion. Movido a scripts/, la suite pasa de 56 s a 38.29 s con los mismos 299 casos en verde.</t>
        </is>
      </c>
    </row>
    <row r="13" ht="25.5" customHeight="1" s="22">
      <c r="A13" s="12" t="n">
        <v>10</v>
      </c>
      <c r="B13" s="12" t="n">
        <v>5</v>
      </c>
      <c r="C13" s="12" t="inlineStr">
        <is>
          <t>F1</t>
        </is>
      </c>
      <c r="D13" s="13" t="inlineStr">
        <is>
          <t>Configurar repositorio git y estructura de paquete</t>
        </is>
      </c>
      <c r="E13" s="13" t="inlineStr">
        <is>
          <t>Repo inicializado</t>
        </is>
      </c>
      <c r="F13" s="12" t="inlineStr">
        <is>
          <t>Media</t>
        </is>
      </c>
      <c r="G13" s="12" t="inlineStr">
        <is>
          <t>Hecho</t>
        </is>
      </c>
      <c r="H13" s="12" t="inlineStr">
        <is>
          <t>14/08/2026</t>
        </is>
      </c>
      <c r="I13" s="13" t="inlineStr">
        <is>
          <t>Commit 3ef0cfa: paquete CamposT/ + scripts/ + referencia/ + resultados/. README con estructura y modo de ejecucion.</t>
        </is>
      </c>
    </row>
    <row r="14" ht="25.5" customHeight="1" s="22">
      <c r="A14" s="12" t="n">
        <v>11</v>
      </c>
      <c r="B14" s="12" t="n">
        <v>6</v>
      </c>
      <c r="C14" s="12" t="inlineStr">
        <is>
          <t>F1</t>
        </is>
      </c>
      <c r="D14" s="13" t="inlineStr">
        <is>
          <t>Implementar MPASM con parametros s y Kf explicitos</t>
        </is>
      </c>
      <c r="E14" s="13" t="inlineStr">
        <is>
          <t>Propagador funcional</t>
        </is>
      </c>
      <c r="F14" s="12" t="inlineStr">
        <is>
          <t>Alta</t>
        </is>
      </c>
      <c r="G14" s="12" t="inlineStr">
        <is>
          <t>Hecho</t>
        </is>
      </c>
      <c r="H14" s="12" t="inlineStr">
        <is>
          <t>21/08/2026</t>
        </is>
      </c>
      <c r="I14" s="13" t="inlineStr">
        <is>
          <t>Adelantada. CamposT/propagadores.py, mpasm() con s, Kf, r y mag explicitos y kf_auto() para el Kf automatico. Corregido despues, en la semana 6: ver tarea 63 (Kf a z &lt; 0 y guardia de ventana de salida).</t>
        </is>
      </c>
    </row>
    <row r="15" ht="25.5" customHeight="1" s="22">
      <c r="A15" s="12" t="n">
        <v>12</v>
      </c>
      <c r="B15" s="12" t="n">
        <v>6</v>
      </c>
      <c r="C15" s="12" t="inlineStr">
        <is>
          <t>F1</t>
        </is>
      </c>
      <c r="D15" s="13" t="inlineStr">
        <is>
          <t>Implementar Rayleigh-Sommerfeld 1D como referencia numerica</t>
        </is>
      </c>
      <c r="E15" s="13" t="inlineStr">
        <is>
          <t>Referencia de verificacion</t>
        </is>
      </c>
      <c r="F15" s="12" t="inlineStr">
        <is>
          <t>Alta</t>
        </is>
      </c>
      <c r="G15" s="12" t="inlineStr">
        <is>
          <t>Hecho</t>
        </is>
      </c>
      <c r="H15" s="12" t="inlineStr">
        <is>
          <t>21/08/2026</t>
        </is>
      </c>
      <c r="I15" s="13" t="inlineStr">
        <is>
          <t>Hecha. CamposT/referencias.py, rs1_radial(): R-S I exacta reducida a 1-D por simetria circular (el paper dice que reduce el calculo 2-D a 1-D pero no como; es reescribir la integral en polares, sin aproximar). O(N_rho^2 N_phi) en vez de O(N^4): la fuerza bruta de pyLHM tardaria 1-2 h en la malla de la Tabla 1. Contrastada contra esa fuerza bruta y 19x mas exacta que ella (1.0e-3 frente a 1.9e-2 contra la analitica). No es paraxial, asi que su diferencia con gauss_analytic mide la paraxialidad. 11 tests, mutacion 8/8.</t>
        </is>
      </c>
    </row>
    <row r="16" ht="25.5" customHeight="1" s="22">
      <c r="A16" s="12" t="n">
        <v>13</v>
      </c>
      <c r="B16" s="12" t="n">
        <v>6</v>
      </c>
      <c r="C16" s="12" t="inlineStr">
        <is>
          <t>F1</t>
        </is>
      </c>
      <c r="D16" s="13" t="inlineStr">
        <is>
          <t>Verificacion contra propagacion analitica de haz gaussiano</t>
        </is>
      </c>
      <c r="E16" s="13" t="inlineStr">
        <is>
          <t>Curvas de error</t>
        </is>
      </c>
      <c r="F16" s="12" t="inlineStr">
        <is>
          <t>Alta</t>
        </is>
      </c>
      <c r="G16" s="12" t="inlineStr">
        <is>
          <t>Hecho</t>
        </is>
      </c>
      <c r="H16" s="12" t="inlineStr">
        <is>
          <t>21/08/2026</t>
        </is>
      </c>
      <c r="I16" s="13" t="inlineStr">
        <is>
          <t>CERRADA el 23/08 (commit ea3a7a8). Era el mismo entregable que la tarea 3 y sale de la misma figura: las curvas de error contra el gaussiano analitico, con SAM y no con RMS. Quedan las DOS referencias independientes -gauss_analytic, paraxial, y rs1_radial, no paraxial- mas la metrica del paper y su barrido graficado.</t>
        </is>
      </c>
    </row>
    <row r="17" ht="25.5" customHeight="1" s="22">
      <c r="A17" s="12" t="n">
        <v>14</v>
      </c>
      <c r="B17" s="12" t="n">
        <v>6</v>
      </c>
      <c r="C17" s="12" t="inlineStr">
        <is>
          <t>F1</t>
        </is>
      </c>
      <c r="D17" s="13" t="inlineStr">
        <is>
          <t>Implementar metrica SAM y generar curvas SAM vs z</t>
        </is>
      </c>
      <c r="E17" s="13" t="inlineStr">
        <is>
          <t>Graficas SAM</t>
        </is>
      </c>
      <c r="F17" s="12" t="inlineStr">
        <is>
          <t>Alta</t>
        </is>
      </c>
      <c r="G17" s="12" t="inlineStr">
        <is>
          <t>Hecho</t>
        </is>
      </c>
      <c r="H17" s="12" t="inlineStr">
        <is>
          <t>21/08/2026</t>
        </is>
      </c>
      <c r="I17" s="13" t="inlineStr">
        <is>
          <t>Hecha. CamposT/metricas.py, sam(). ERRATA ENCONTRADA en la Ec. (16): el denominador impreso es integral I_ref y tiene que ser integral I_ref^2. Con la impresa, un campo identico a su referencia da 0.365 dB en vez de infinito y el SAM queda bajo 2.5 dB para todo, o sea que el paper no habria podido generar su propia Figura 4. Segunda errata, tras el A^2*B de la Ec. (14). sam(formula='literal') reproduce la impresa. Al 23/08 su entregable -las graficas SAM- ya existe de verdad: resultados/exactitud/sam_vs_z.png (tarea 3). Y la metrica se endurecio (commit 61e7e1a) contra tres casos degenerados que devolvian un numero creible: un campo nulo daba +inf, o sea el mejor valor posible, porque la Ec. (15) queda 0/0 y la rama del residuo no miraba el numerador; una referencia nula daba NaN con un aviso de NumPy; y dos mallas distintas se difundian en silencio, que es facil de encontrarse porque rs1_radial devuelve perfiles radiales. 15 tests.</t>
        </is>
      </c>
    </row>
    <row r="18" ht="25.5" customHeight="1" s="22">
      <c r="A18" s="12" t="n">
        <v>15</v>
      </c>
      <c r="B18" s="12" t="n">
        <v>6</v>
      </c>
      <c r="C18" s="12" t="inlineStr">
        <is>
          <t>F1</t>
        </is>
      </c>
      <c r="D18" s="13" t="inlineStr">
        <is>
          <t>Redactar seccion de metodologia: implementacion (Obj. 1)</t>
        </is>
      </c>
      <c r="E18" s="13" t="inlineStr">
        <is>
          <t>Borrador de seccion</t>
        </is>
      </c>
      <c r="F18" s="12" t="inlineStr">
        <is>
          <t>Media</t>
        </is>
      </c>
      <c r="G18" s="12" t="inlineStr">
        <is>
          <t>Pendiente</t>
        </is>
      </c>
      <c r="H18" s="12" t="inlineStr">
        <is>
          <t>21/08/2026</t>
        </is>
      </c>
      <c r="I18" s="13" t="inlineStr">
        <is>
          <t>SIN EMPEZAR el 31/08, diez dias despues de vencer. Las diapositivas del avance 1 salieron sin ella. El material esta escrito pero disperso -el README, los docstrings del paquete y las notas de este cronograma-: falta pasarlo a prosa de tesis, y a partir de hoy compite con la Fase 2. Es la primera deuda de escritura del proyecto. AL 01/09 SIGUE SIN EMPEZAR y queda fuera del foco de la semana 8 y del receso, que se dedican a la tarea 17, a la Fase 2 (24-26) y a la limpieza del repo. Se arrastra a la semana 9, donde ya compite con F2. Es la segunda vez que se aplaza.</t>
        </is>
      </c>
    </row>
    <row r="19" ht="25.5" customHeight="1" s="22">
      <c r="A19" s="12" t="n">
        <v>16</v>
      </c>
      <c r="B19" s="12" t="n">
        <v>7</v>
      </c>
      <c r="C19" s="12" t="inlineStr">
        <is>
          <t>F3</t>
        </is>
      </c>
      <c r="D19" s="13" t="inlineStr">
        <is>
          <t>Sesion de familiarizacion con el montaje DLHM</t>
        </is>
      </c>
      <c r="E19" s="13" t="inlineStr">
        <is>
          <t>Bitacora de laboratorio</t>
        </is>
      </c>
      <c r="F19" s="12" t="inlineStr">
        <is>
          <t>Alta</t>
        </is>
      </c>
      <c r="G19" s="12" t="inlineStr">
        <is>
          <t>Hecho</t>
        </is>
      </c>
      <c r="H19" s="12" t="inlineStr">
        <is>
          <t>28/08/2026</t>
        </is>
      </c>
      <c r="I19" s="13" t="inlineStr">
        <is>
          <t>Hecha en la semana 7. Queda pendiente lo que tenia que salir de ella: los parametros reales del montaje (tarea 17).</t>
        </is>
      </c>
    </row>
    <row r="20" ht="25.5" customHeight="1" s="22">
      <c r="A20" s="12" t="n">
        <v>17</v>
      </c>
      <c r="B20" s="12" t="n">
        <v>7</v>
      </c>
      <c r="C20" s="12" t="inlineStr">
        <is>
          <t>F3</t>
        </is>
      </c>
      <c r="D20" s="13" t="inlineStr">
        <is>
          <t>Levantar parametros reales: lambda, pitch, sensor, L, z, NA</t>
        </is>
      </c>
      <c r="E20" s="13" t="inlineStr">
        <is>
          <t>Hoja de parametros</t>
        </is>
      </c>
      <c r="F20" s="12" t="inlineStr">
        <is>
          <t>Alta</t>
        </is>
      </c>
      <c r="G20" s="12" t="inlineStr">
        <is>
          <t>En curso</t>
        </is>
      </c>
      <c r="H20" s="12" t="inlineStr">
        <is>
          <t>28/08/2026</t>
        </is>
      </c>
      <c r="I20" s="13" t="inlineStr">
        <is>
          <t>VENCIDA el 28/08 y abierta al 31/08. Es la dependencia mas critica del cronograma: la Fase 2 arranca el 14/09 -dos semanas, con el receso de por medio- y sin lambda, pitch, sensor, L, z y NA reales el barrido de la tarea 30 se corre sobre valores inventados y hay que repetirlo. El acceso al montaje ya no es el bloqueo: la sesion de familiarizacion (tarea 16) y la reserva de laboratorio (tarea 18) estan hechas. AL 01/09 ES EL FOCO DE LA SEMANA 8: quedan cuatro dias habiles (1-4 sep) antes del receso, y despues del receso solo queda la semana del 14/09, que es cuando arranca la Fase 2 que depende de estos numeros. Al 01/09 su entregable esta PREPARADO Y VACIO (tarea 73): docs/hoja_parametros_montaje.md es el checklist que se lleva al laboratorio y CamposT/montaje.py el destino de los numeros. Faltan los 15 valores; cualquier cuenta que use uno de ellos falla en el acto en vez de propagar un valor inventado. CONFIRMADO el 01/09 que hay acceso al montaje esta misma semana, asi que la tarea deja de depender de la reserva de las semanas 9 a 11. EN CURSO desde el 20/09 (commit 4e0927c0e): montaje.py tiene ya lambda, pinhole, los dos pasos de pixel y L medidos, 5 de los 15 parametros. Quedan 10 pendientes.</t>
        </is>
      </c>
    </row>
    <row r="21" ht="25.5" customHeight="1" s="22">
      <c r="A21" s="12" t="n">
        <v>18</v>
      </c>
      <c r="B21" s="12" t="n">
        <v>7</v>
      </c>
      <c r="C21" s="12" t="inlineStr">
        <is>
          <t>F3</t>
        </is>
      </c>
      <c r="D21" s="13" t="inlineStr">
        <is>
          <t>Reservar tiempos de laboratorio para las semanas 9 a 11</t>
        </is>
      </c>
      <c r="E21" s="13" t="inlineStr">
        <is>
          <t>Reserva confirmada</t>
        </is>
      </c>
      <c r="F21" s="12" t="inlineStr">
        <is>
          <t>Alta</t>
        </is>
      </c>
      <c r="G21" s="12" t="inlineStr">
        <is>
          <t>Hecho</t>
        </is>
      </c>
      <c r="H21" s="12" t="inlineStr">
        <is>
          <t>28/08/2026</t>
        </is>
      </c>
      <c r="I21" s="13" t="inlineStr">
        <is>
          <t>Depende de terceros: pedirla el lunes 24, no al final de la semana. Las semanas 9 a 11 son las unicas ventanas de laboratorio del cronograma. RESERVADA en la semana 7.</t>
        </is>
      </c>
    </row>
    <row r="22" ht="25.5" customHeight="1" s="22">
      <c r="A22" s="12" t="n">
        <v>19</v>
      </c>
      <c r="B22" s="12" t="n">
        <v>7</v>
      </c>
      <c r="C22" s="12" t="inlineStr">
        <is>
          <t>F1</t>
        </is>
      </c>
      <c r="D22" s="13" t="inlineStr">
        <is>
          <t>Preparar diapositivas del informe de avance 1</t>
        </is>
      </c>
      <c r="E22" s="13" t="inlineStr">
        <is>
          <t>Presentacion</t>
        </is>
      </c>
      <c r="F22" s="12" t="inlineStr">
        <is>
          <t>Alta</t>
        </is>
      </c>
      <c r="G22" s="12" t="inlineStr">
        <is>
          <t>Hecho</t>
        </is>
      </c>
      <c r="H22" s="12" t="inlineStr">
        <is>
          <t>28/08/2026</t>
        </is>
      </c>
      <c r="I22" s="13" t="inlineStr">
        <is>
          <t>Hechas. Las figuras salen de la bateria regenerada el 30/08 con el codigo al dia (tarea 71), no de corridas viejas.</t>
        </is>
      </c>
    </row>
    <row r="23" ht="25.5" customHeight="1" s="22">
      <c r="A23" s="12" t="n">
        <v>20</v>
      </c>
      <c r="B23" s="12" t="n">
        <v>7</v>
      </c>
      <c r="C23" s="12" t="inlineStr">
        <is>
          <t>F1</t>
        </is>
      </c>
      <c r="D23" s="13" t="inlineStr">
        <is>
          <t>Revision previa del avance con el asesor</t>
        </is>
      </c>
      <c r="E23" s="13" t="inlineStr">
        <is>
          <t>Visto bueno del asesor</t>
        </is>
      </c>
      <c r="F23" s="12" t="inlineStr">
        <is>
          <t>Media</t>
        </is>
      </c>
      <c r="G23" s="12" t="inlineStr">
        <is>
          <t>Hecho</t>
        </is>
      </c>
      <c r="H23" s="12" t="inlineStr">
        <is>
          <t>28/08/2026</t>
        </is>
      </c>
      <c r="I23" s="13" t="inlineStr">
        <is>
          <t>Hecha antes del avance del 31/08.</t>
        </is>
      </c>
    </row>
    <row r="24" ht="25.5" customHeight="1" s="22">
      <c r="A24" s="15" t="n">
        <v>21</v>
      </c>
      <c r="B24" s="15" t="n">
        <v>8</v>
      </c>
      <c r="C24" s="15" t="inlineStr">
        <is>
          <t>HITO</t>
        </is>
      </c>
      <c r="D24" s="16" t="inlineStr">
        <is>
          <t>Presentar informe de avance 1 (31 de agosto)</t>
        </is>
      </c>
      <c r="E24" s="16" t="inlineStr">
        <is>
          <t>Exposicion evaluada</t>
        </is>
      </c>
      <c r="F24" s="15" t="inlineStr">
        <is>
          <t>Alta</t>
        </is>
      </c>
      <c r="G24" s="15" t="inlineStr">
        <is>
          <t>Hecho</t>
        </is>
      </c>
      <c r="H24" s="15" t="inlineStr">
        <is>
          <t>31/08/2026</t>
        </is>
      </c>
      <c r="I24" s="16" t="inlineStr">
        <is>
          <t>PRESENTADA el 31/08. Sin observaciones que cambien el plan: las fechas de los hitos y el arranque de la Fase 2 el 14/09 quedan como estaban. Ver tarea 22.</t>
        </is>
      </c>
    </row>
    <row r="25" ht="25.5" customHeight="1" s="22">
      <c r="A25" s="15" t="n">
        <v>22</v>
      </c>
      <c r="B25" s="15" t="n">
        <v>8</v>
      </c>
      <c r="C25" s="15" t="inlineStr">
        <is>
          <t>HITO</t>
        </is>
      </c>
      <c r="D25" s="16" t="inlineStr">
        <is>
          <t>Registrar retroalimentacion y ajustar el plan</t>
        </is>
      </c>
      <c r="E25" s="16" t="inlineStr">
        <is>
          <t>Plan actualizado</t>
        </is>
      </c>
      <c r="F25" s="15" t="inlineStr">
        <is>
          <t>Media</t>
        </is>
      </c>
      <c r="G25" s="15" t="inlineStr">
        <is>
          <t>Hecho</t>
        </is>
      </c>
      <c r="H25" s="15" t="inlineStr">
        <is>
          <t>31/08/2026</t>
        </is>
      </c>
      <c r="I25" s="16" t="inlineStr">
        <is>
          <t>CERRADA el 01/09. La retroalimentacion del avance 1 no trajo ajustes al cronograma, asi que el plan sigue vigente sin cambios. Lo que decide el arranque de la Fase 2 no es esta retroalimentacion sino la tarea 17, que sigue vencida.</t>
        </is>
      </c>
    </row>
    <row r="26" ht="25.5" customHeight="1" s="22">
      <c r="A26" s="12" t="n">
        <v>23</v>
      </c>
      <c r="B26" s="12" t="inlineStr">
        <is>
          <t>Receso</t>
        </is>
      </c>
      <c r="C26" s="12" t="inlineStr">
        <is>
          <t>BUF</t>
        </is>
      </c>
      <c r="D26" s="13" t="inlineStr">
        <is>
          <t>Semana de receso: recuperar tareas atrasadas o lectura pendiente</t>
        </is>
      </c>
      <c r="E26" s="13" t="inlineStr">
        <is>
          <t>Colchon del cronograma</t>
        </is>
      </c>
      <c r="F26" s="12" t="inlineStr">
        <is>
          <t>Baja</t>
        </is>
      </c>
      <c r="G26" s="12" t="inlineStr">
        <is>
          <t>Pendiente</t>
        </is>
      </c>
      <c r="H26" s="12" t="inlineStr">
        <is>
          <t>11/09/2026</t>
        </is>
      </c>
      <c r="I26" s="13" t="n"/>
    </row>
    <row r="27" ht="25.5" customHeight="1" s="22">
      <c r="A27" s="12" t="n">
        <v>24</v>
      </c>
      <c r="B27" s="12" t="n">
        <v>9</v>
      </c>
      <c r="C27" s="12" t="inlineStr">
        <is>
          <t>F2</t>
        </is>
      </c>
      <c r="D27" s="13" t="inlineStr">
        <is>
          <t>Formular la adaptacion a iluminacion esferica divergente</t>
        </is>
      </c>
      <c r="E27" s="13" t="inlineStr">
        <is>
          <t>Desarrollo teorico</t>
        </is>
      </c>
      <c r="F27" s="12" t="inlineStr">
        <is>
          <t>Alta</t>
        </is>
      </c>
      <c r="G27" s="12" t="inlineStr">
        <is>
          <t>Hecho</t>
        </is>
      </c>
      <c r="H27" s="12" t="inlineStr">
        <is>
          <t>25/09/2026</t>
        </is>
      </c>
      <c r="I27" s="13" t="inlineStr">
        <is>
          <t>Adelantada. figura_escenario.py (commit c6963d1) fija la primitiva: la lente f = -300 mm de la Tabla 1, aplicada sobre la cintura, deja el haz con R = 300 mm y la cintura intacta, o sea un pinhole virtual. Se modela el frente esferico divergente, no la lente. Falta pasar de la figura al desarrollo escrito. Reunion con el asesor el 08/09 (docs/reunion_asesor.pdf): la fecha limite se corrio al 25/09 (fin de semana 10). CERRADA el 22/09: docs/tarea24_mpasm_onda_esferica.pdf es el desarrollo escrito que faltaba, sobre la onda esferica en MPASM.</t>
        </is>
      </c>
    </row>
    <row r="28" ht="25.5" customHeight="1" s="22">
      <c r="A28" s="12" t="n">
        <v>25</v>
      </c>
      <c r="B28" s="12" t="n">
        <v>9</v>
      </c>
      <c r="C28" s="12" t="inlineStr">
        <is>
          <t>F2</t>
        </is>
      </c>
      <c r="D28" s="13" t="inlineStr">
        <is>
          <t>Implementar compensacion de fase y magnificacion geometrica</t>
        </is>
      </c>
      <c r="E28" s="13" t="inlineStr">
        <is>
          <t>Codigo funcional</t>
        </is>
      </c>
      <c r="F28" s="12" t="inlineStr">
        <is>
          <t>Alta</t>
        </is>
      </c>
      <c r="G28" s="12" t="inlineStr">
        <is>
          <t>Hecho</t>
        </is>
      </c>
      <c r="H28" s="12" t="inlineStr">
        <is>
          <t>18/09/2026</t>
        </is>
      </c>
      <c r="I28" s="13" t="inlineStr">
        <is>
          <t>La magnificacion geometrica ya existe: parametro mag de mpasm (r1, r2 de las Ecs. (7)-(8)), verificado en figura_escenario.py con malla de salida 6x. Falta la compensacion de fase de la iluminacion divergente. CERRADA el 27/09 con la tarea 78 (commit 17b6e2f510), fuera de su fecha del 18/09. La compensacion de fase de la iluminacion divergente es la esferica EXACTA e^{ikr}/r, en los dos sentidos y sin aproximacion paraxial: al reconstruir se multiplica por la de la fuente vista en el sensor (R = L) y se divide por la vista en la muestra (R = z); su parte parabolica va dentro de las matrices de la DFT del MPASM y el residuo punto a punto. La magnificacion geometrica M = L/z es exacta (proyeccion central entre planos paralelos) y entra como la malla de la muestra, delta*z/L, sin reescalar nada. Verificado contra Rayleigh-Sommerfeld directo: 3.6e-6 de error relativo hasta 12.4 grados.</t>
        </is>
      </c>
    </row>
    <row r="29" ht="25.5" customHeight="1" s="22">
      <c r="A29" s="12" t="n">
        <v>26</v>
      </c>
      <c r="B29" s="12" t="n">
        <v>9</v>
      </c>
      <c r="C29" s="12" t="inlineStr">
        <is>
          <t>F2</t>
        </is>
      </c>
      <c r="D29" s="13" t="inlineStr">
        <is>
          <t>Montar el pipeline de reconstruccion DLHM con los 4 propagadores</t>
        </is>
      </c>
      <c r="E29" s="13" t="inlineStr">
        <is>
          <t>Pipeline unificado</t>
        </is>
      </c>
      <c r="F29" s="12" t="inlineStr">
        <is>
          <t>Alta</t>
        </is>
      </c>
      <c r="G29" s="12" t="inlineStr">
        <is>
          <t>En curso</t>
        </is>
      </c>
      <c r="H29" s="12" t="inlineStr">
        <is>
          <t>18/09/2026</t>
        </is>
      </c>
      <c r="I29" s="13" t="inlineStr">
        <is>
          <t>Empezada por su mitad general: CamposT/retropropagacion.py (tarea 64) ya reconstruye sobre un barrido de z con los tres propagadores del paquete, pero asume iluminacion colimada. Al 31/08 se suma scripts/retro_holograma.py (tarea 67), que retropropaga un holograma ya registrado llamando a pipeline.propagar(), con los tres propagadores sobre el mismo dato y la misma z. Falta lo especifico de DLHM: la fuente puntual divergente (magnificacion M = L/z y distancia efectiva, tarea 24) y el cuarto propagador.</t>
        </is>
      </c>
    </row>
    <row r="30" ht="25.5" customHeight="1" s="22">
      <c r="A30" s="12" t="n">
        <v>27</v>
      </c>
      <c r="B30" s="12" t="n">
        <v>9</v>
      </c>
      <c r="C30" s="12" t="inlineStr">
        <is>
          <t>F2</t>
        </is>
      </c>
      <c r="D30" s="13" t="inlineStr">
        <is>
          <t>Validar con holograma simulado de muestra sintetica</t>
        </is>
      </c>
      <c r="E30" s="13" t="inlineStr">
        <is>
          <t>Reconstruccion simulada</t>
        </is>
      </c>
      <c r="F30" s="12" t="inlineStr">
        <is>
          <t>Alta</t>
        </is>
      </c>
      <c r="G30" s="12" t="inlineStr">
        <is>
          <t>Hecho</t>
        </is>
      </c>
      <c r="H30" s="12" t="inlineStr">
        <is>
          <t>18/09/2026</t>
        </is>
      </c>
      <c r="I30" s="13" t="inlineStr">
        <is>
          <t>ADELANTADA (era semana 9). Validacion de extremo a extremo sobre DLHM-model: holograma simulado con verdad-terreno conocida, retropropagado con MPASM. La fase reconstruida a la distancia nominal devuelve el target con los grupos de barras USAF y sus numeros legibles, sin ajustar parametros. Dos lecciones: el caso cae FUERA del rango de FFT-ASM (z_lim = 6.6 mm frente a z = 24 mm), y el criterio de autofoco depende del tipo de objeto (en fase hay que MINIMIZAR la varianza de amplitud, no maximizar nitidez). Falta versionarlo como scripts/reconstruccion_dlhm.py. Al 23/08 la maquinaria de retropropagacion ya esta versionada (tarea 64), asi que lo que queda es rehacer esa validacion llamando al paquete en vez del script suelto. CERRADA el 27/09 con la tarea 78 (commit 17b6e2f510), fuera de su fecha del 18/09. La validacion ya llama al paquete (CamposT.dlhm) y queda versionada como scripts/verif_dlhm_esferico.py, no como scripts/reconstruccion_dlhm.py. Hologramas simulados con la ida exacta (3.6e-6 contra RS directo) de dos muestras sinteticas con verdad-terreno: un mosaico de detalle de ~1.25 um, reconstruido con corr 0.969 en la ventana entera del sensor de 3000 px (1.0000 hasta 3 grados), y el BenchmarkTarget de DLHM-model a z = 3 mm, del que un barrido por nitidez sobre el holograma de INTENSIDAD recupera z = 3.0005 mm sin conocer el objeto. La imagen gemela sigue sin suprimirse (corr 0.95 en el centro con intensidad, 1.000 con el campo complejo).</t>
        </is>
      </c>
    </row>
    <row r="31" ht="25.5" customHeight="1" s="22">
      <c r="A31" s="12" t="n">
        <v>28</v>
      </c>
      <c r="B31" s="12" t="n">
        <v>9</v>
      </c>
      <c r="C31" s="12" t="inlineStr">
        <is>
          <t>F2</t>
        </is>
      </c>
      <c r="D31" s="13" t="inlineStr">
        <is>
          <t>Redactar seccion: propagacion bajo iluminacion esferica</t>
        </is>
      </c>
      <c r="E31" s="13" t="inlineStr">
        <is>
          <t>Borrador de seccion</t>
        </is>
      </c>
      <c r="F31" s="12" t="inlineStr">
        <is>
          <t>Media</t>
        </is>
      </c>
      <c r="G31" s="12" t="inlineStr">
        <is>
          <t>Pendiente</t>
        </is>
      </c>
      <c r="H31" s="12" t="inlineStr">
        <is>
          <t>18/09/2026</t>
        </is>
      </c>
      <c r="I31" s="13" t="n"/>
    </row>
    <row r="32" ht="25.5" customHeight="1" s="22">
      <c r="A32" s="12" t="n">
        <v>29</v>
      </c>
      <c r="B32" s="12" t="n">
        <v>10</v>
      </c>
      <c r="C32" s="12" t="inlineStr">
        <is>
          <t>F2</t>
        </is>
      </c>
      <c r="D32" s="13" t="inlineStr">
        <is>
          <t>Definir la malla del barrido de parametros (z, NA, s, Kf)</t>
        </is>
      </c>
      <c r="E32" s="13" t="inlineStr">
        <is>
          <t>Diseno del barrido</t>
        </is>
      </c>
      <c r="F32" s="12" t="inlineStr">
        <is>
          <t>Alta</t>
        </is>
      </c>
      <c r="G32" s="12" t="inlineStr">
        <is>
          <t>Pendiente</t>
        </is>
      </c>
      <c r="H32" s="12" t="inlineStr">
        <is>
          <t>25/09/2026</t>
        </is>
      </c>
      <c r="I32" s="13" t="n"/>
    </row>
    <row r="33" ht="25.5" customHeight="1" s="22">
      <c r="A33" s="12" t="n">
        <v>30</v>
      </c>
      <c r="B33" s="12" t="n">
        <v>10</v>
      </c>
      <c r="C33" s="12" t="inlineStr">
        <is>
          <t>F2</t>
        </is>
      </c>
      <c r="D33" s="13" t="inlineStr">
        <is>
          <t>Ejecutar el barrido y generar los mapas de error</t>
        </is>
      </c>
      <c r="E33" s="13" t="inlineStr">
        <is>
          <t>Mapas de validez</t>
        </is>
      </c>
      <c r="F33" s="12" t="inlineStr">
        <is>
          <t>Alta</t>
        </is>
      </c>
      <c r="G33" s="12" t="inlineStr">
        <is>
          <t>Pendiente</t>
        </is>
      </c>
      <c r="H33" s="12" t="inlineStr">
        <is>
          <t>25/09/2026</t>
        </is>
      </c>
      <c r="I33" s="13" t="n"/>
    </row>
    <row r="34" ht="25.5" customHeight="1" s="22">
      <c r="A34" s="12" t="n">
        <v>31</v>
      </c>
      <c r="B34" s="12" t="n">
        <v>10</v>
      </c>
      <c r="C34" s="12" t="inlineStr">
        <is>
          <t>F2</t>
        </is>
      </c>
      <c r="D34" s="13" t="inlineStr">
        <is>
          <t>Derivar el criterio operativo de seleccion de s y Kf</t>
        </is>
      </c>
      <c r="E34" s="13" t="inlineStr">
        <is>
          <t>Criterio documentado</t>
        </is>
      </c>
      <c r="F34" s="12" t="inlineStr">
        <is>
          <t>Alta</t>
        </is>
      </c>
      <c r="G34" s="12" t="inlineStr">
        <is>
          <t>En curso</t>
        </is>
      </c>
      <c r="H34" s="12" t="inlineStr">
        <is>
          <t>25/09/2026</t>
        </is>
      </c>
      <c r="I34" s="13" t="inlineStr">
        <is>
          <t>Primer criterio duro ya derivado, y metido en el codigo en vez de solo documentado: r*mag &lt;= s*Kf (mpasm._comprobar_ventana, tarea 63). Sale de que el espectro, muestreado cada 1/(s*N*delta*Kf), describe un campo que se repite cada s*N*delta*Kf, mientras la malla de salida abarca r*N*delta*mag. Falta el criterio de eleccion de s y Kf frente a z y NA, que es lo que dara el barrido de la tarea 30.</t>
        </is>
      </c>
    </row>
    <row r="35" ht="25.5" customHeight="1" s="22">
      <c r="A35" s="12" t="n">
        <v>32</v>
      </c>
      <c r="B35" s="12" t="n">
        <v>10</v>
      </c>
      <c r="C35" s="12" t="inlineStr">
        <is>
          <t>F2</t>
        </is>
      </c>
      <c r="D35" s="13" t="inlineStr">
        <is>
          <t>Contrastar MPASM y CZT termino a termino</t>
        </is>
      </c>
      <c r="E35" s="13" t="inlineStr">
        <is>
          <t>Nota tecnica</t>
        </is>
      </c>
      <c r="F35" s="12" t="inlineStr">
        <is>
          <t>Media</t>
        </is>
      </c>
      <c r="G35" s="12" t="inlineStr">
        <is>
          <t>En curso</t>
        </is>
      </c>
      <c r="H35" s="12" t="inlineStr">
        <is>
          <t>25/09/2026</t>
        </is>
      </c>
      <c r="I35" s="13" t="inlineStr">
        <is>
          <t>Contraste parcial hecho: scripts/contraste_referencias.py compara CamposT contra pyDHM (angularSpectrum y bluestein/CZT). fft_asm coincide con pyDHM.angularSpectrum a 1e-8. Falta el contraste termino a termino MPASM vs CZT. Se suma scripts/retro_fft_angular.py: la ida y vuelta con el angularSpectrum de pyDHM tal cual, en una sola pieza y sin importar CamposT, como contraste independiente del paquete. Deja medidos dos defectos del original: dfx y dfy cruzados (irrelevante en malla cuadrada, 2.95e-1 de error contra el gaussiano analitico en malla rectangular) y las evanescentes dejadas decaer, que al RETROPROPAGAR crecen en vez de decaer. Al 23/08 se suma retro_mpasm.py (tarea 65), que contrasta MPASM contra el original de Zhao termino a termino y da 0.000e+00 en doble precision. No cierra esta tarea: lo que sigue pendiente es el contraste contra la CZT de pyDHM, que es otro metodo y no otra implementacion del mismo.</t>
        </is>
      </c>
    </row>
    <row r="36" ht="25.5" customHeight="1" s="22">
      <c r="A36" s="12" t="n">
        <v>33</v>
      </c>
      <c r="B36" s="12" t="n">
        <v>10</v>
      </c>
      <c r="C36" s="12" t="inlineStr">
        <is>
          <t>F2</t>
        </is>
      </c>
      <c r="D36" s="13" t="inlineStr">
        <is>
          <t>Redactar seccion: calibracion numerica (Obj. 2)</t>
        </is>
      </c>
      <c r="E36" s="13" t="inlineStr">
        <is>
          <t>Borrador de seccion</t>
        </is>
      </c>
      <c r="F36" s="12" t="inlineStr">
        <is>
          <t>Media</t>
        </is>
      </c>
      <c r="G36" s="12" t="inlineStr">
        <is>
          <t>Pendiente</t>
        </is>
      </c>
      <c r="H36" s="12" t="inlineStr">
        <is>
          <t>25/09/2026</t>
        </is>
      </c>
      <c r="I36" s="13" t="n"/>
    </row>
    <row r="37" ht="25.5" customHeight="1" s="22">
      <c r="A37" s="12" t="n">
        <v>34</v>
      </c>
      <c r="B37" s="12" t="n">
        <v>11</v>
      </c>
      <c r="C37" s="12" t="inlineStr">
        <is>
          <t>F3</t>
        </is>
      </c>
      <c r="D37" s="13" t="inlineStr">
        <is>
          <t>Alineacion del montaje y verificacion de estabilidad</t>
        </is>
      </c>
      <c r="E37" s="13" t="inlineStr">
        <is>
          <t>Montaje alineado</t>
        </is>
      </c>
      <c r="F37" s="12" t="inlineStr">
        <is>
          <t>Alta</t>
        </is>
      </c>
      <c r="G37" s="12" t="inlineStr">
        <is>
          <t>Pendiente</t>
        </is>
      </c>
      <c r="H37" s="12" t="inlineStr">
        <is>
          <t>02/10/2026</t>
        </is>
      </c>
      <c r="I37" s="13" t="n"/>
    </row>
    <row r="38" ht="25.5" customHeight="1" s="22">
      <c r="A38" s="12" t="n">
        <v>35</v>
      </c>
      <c r="B38" s="12" t="n">
        <v>11</v>
      </c>
      <c r="C38" s="12" t="inlineStr">
        <is>
          <t>F3</t>
        </is>
      </c>
      <c r="D38" s="13" t="inlineStr">
        <is>
          <t>Registro de hologramas del target USAF 1951 a dos o mas magnificaciones</t>
        </is>
      </c>
      <c r="E38" s="13" t="inlineStr">
        <is>
          <t>Hologramas USAF</t>
        </is>
      </c>
      <c r="F38" s="12" t="inlineStr">
        <is>
          <t>Alta</t>
        </is>
      </c>
      <c r="G38" s="12" t="inlineStr">
        <is>
          <t>Pendiente</t>
        </is>
      </c>
      <c r="H38" s="12" t="inlineStr">
        <is>
          <t>02/10/2026</t>
        </is>
      </c>
      <c r="I38" s="13" t="n"/>
    </row>
    <row r="39" ht="25.5" customHeight="1" s="22">
      <c r="A39" s="12" t="n">
        <v>36</v>
      </c>
      <c r="B39" s="12" t="n">
        <v>11</v>
      </c>
      <c r="C39" s="12" t="inlineStr">
        <is>
          <t>F3</t>
        </is>
      </c>
      <c r="D39" s="13" t="inlineStr">
        <is>
          <t>Registro de muestra micrometrica o biologica</t>
        </is>
      </c>
      <c r="E39" s="13" t="inlineStr">
        <is>
          <t>Hologramas de muestra</t>
        </is>
      </c>
      <c r="F39" s="12" t="inlineStr">
        <is>
          <t>Media</t>
        </is>
      </c>
      <c r="G39" s="12" t="inlineStr">
        <is>
          <t>Pendiente</t>
        </is>
      </c>
      <c r="H39" s="12" t="inlineStr">
        <is>
          <t>02/10/2026</t>
        </is>
      </c>
      <c r="I39" s="13" t="n"/>
    </row>
    <row r="40" ht="25.5" customHeight="1" s="22">
      <c r="A40" s="12" t="n">
        <v>37</v>
      </c>
      <c r="B40" s="12" t="n">
        <v>11</v>
      </c>
      <c r="C40" s="12" t="inlineStr">
        <is>
          <t>F3</t>
        </is>
      </c>
      <c r="D40" s="13" t="inlineStr">
        <is>
          <t>Capturar referencias sin muestra y ruido de fondo</t>
        </is>
      </c>
      <c r="E40" s="13" t="inlineStr">
        <is>
          <t>Imagenes de referencia</t>
        </is>
      </c>
      <c r="F40" s="12" t="inlineStr">
        <is>
          <t>Alta</t>
        </is>
      </c>
      <c r="G40" s="12" t="inlineStr">
        <is>
          <t>Pendiente</t>
        </is>
      </c>
      <c r="H40" s="12" t="inlineStr">
        <is>
          <t>02/10/2026</t>
        </is>
      </c>
      <c r="I40" s="13" t="n"/>
    </row>
    <row r="41" ht="25.5" customHeight="1" s="22">
      <c r="A41" s="12" t="n">
        <v>38</v>
      </c>
      <c r="B41" s="12" t="n">
        <v>11</v>
      </c>
      <c r="C41" s="12" t="inlineStr">
        <is>
          <t>F3</t>
        </is>
      </c>
      <c r="D41" s="13" t="inlineStr">
        <is>
          <t>Organizar el dataset con metadatos y respaldo</t>
        </is>
      </c>
      <c r="E41" s="13" t="inlineStr">
        <is>
          <t>Dataset documentado</t>
        </is>
      </c>
      <c r="F41" s="12" t="inlineStr">
        <is>
          <t>Alta</t>
        </is>
      </c>
      <c r="G41" s="12" t="inlineStr">
        <is>
          <t>Pendiente</t>
        </is>
      </c>
      <c r="H41" s="12" t="inlineStr">
        <is>
          <t>02/10/2026</t>
        </is>
      </c>
      <c r="I41" s="13" t="n"/>
    </row>
    <row r="42" ht="25.5" customHeight="1" s="22">
      <c r="A42" s="12" t="n">
        <v>39</v>
      </c>
      <c r="B42" s="12" t="n">
        <v>12</v>
      </c>
      <c r="C42" s="12" t="inlineStr">
        <is>
          <t>F4</t>
        </is>
      </c>
      <c r="D42" s="13" t="inlineStr">
        <is>
          <t>Reconstruir todo el dataset con los 4 propagadores</t>
        </is>
      </c>
      <c r="E42" s="13" t="inlineStr">
        <is>
          <t>Reconstrucciones completas</t>
        </is>
      </c>
      <c r="F42" s="12" t="inlineStr">
        <is>
          <t>Alta</t>
        </is>
      </c>
      <c r="G42" s="12" t="inlineStr">
        <is>
          <t>Pendiente</t>
        </is>
      </c>
      <c r="H42" s="12" t="inlineStr">
        <is>
          <t>09/10/2026</t>
        </is>
      </c>
      <c r="I42" s="13" t="n"/>
    </row>
    <row r="43" ht="25.5" customHeight="1" s="22">
      <c r="A43" s="12" t="n">
        <v>40</v>
      </c>
      <c r="B43" s="12" t="n">
        <v>12</v>
      </c>
      <c r="C43" s="12" t="inlineStr">
        <is>
          <t>F4</t>
        </is>
      </c>
      <c r="D43" s="13" t="inlineStr">
        <is>
          <t>Medir resolucion lateral efectiva sobre el target USAF</t>
        </is>
      </c>
      <c r="E43" s="13" t="inlineStr">
        <is>
          <t>Tabla de resolucion</t>
        </is>
      </c>
      <c r="F43" s="12" t="inlineStr">
        <is>
          <t>Alta</t>
        </is>
      </c>
      <c r="G43" s="12" t="inlineStr">
        <is>
          <t>Pendiente</t>
        </is>
      </c>
      <c r="H43" s="12" t="inlineStr">
        <is>
          <t>09/10/2026</t>
        </is>
      </c>
      <c r="I43" s="13" t="n"/>
    </row>
    <row r="44" ht="25.5" customHeight="1" s="22">
      <c r="A44" s="12" t="n">
        <v>41</v>
      </c>
      <c r="B44" s="12" t="n">
        <v>12</v>
      </c>
      <c r="C44" s="12" t="inlineStr">
        <is>
          <t>F4</t>
        </is>
      </c>
      <c r="D44" s="13" t="inlineStr">
        <is>
          <t>Medir contraste, relacion senal-ruido y tiempo de computo</t>
        </is>
      </c>
      <c r="E44" s="13" t="inlineStr">
        <is>
          <t>Tabla de metricas</t>
        </is>
      </c>
      <c r="F44" s="12" t="inlineStr">
        <is>
          <t>Alta</t>
        </is>
      </c>
      <c r="G44" s="12" t="inlineStr">
        <is>
          <t>Pendiente</t>
        </is>
      </c>
      <c r="H44" s="12" t="inlineStr">
        <is>
          <t>09/10/2026</t>
        </is>
      </c>
      <c r="I44" s="13" t="n"/>
    </row>
    <row r="45" ht="25.5" customHeight="1" s="22">
      <c r="A45" s="12" t="n">
        <v>42</v>
      </c>
      <c r="B45" s="12" t="n">
        <v>12</v>
      </c>
      <c r="C45" s="12" t="inlineStr">
        <is>
          <t>F4</t>
        </is>
      </c>
      <c r="D45" s="13" t="inlineStr">
        <is>
          <t>Consolidar la tabla comparativa de resultados</t>
        </is>
      </c>
      <c r="E45" s="13" t="inlineStr">
        <is>
          <t>Tabla final</t>
        </is>
      </c>
      <c r="F45" s="12" t="inlineStr">
        <is>
          <t>Alta</t>
        </is>
      </c>
      <c r="G45" s="12" t="inlineStr">
        <is>
          <t>Pendiente</t>
        </is>
      </c>
      <c r="H45" s="12" t="inlineStr">
        <is>
          <t>09/10/2026</t>
        </is>
      </c>
      <c r="I45" s="13" t="n"/>
    </row>
    <row r="46" ht="25.5" customHeight="1" s="22">
      <c r="A46" s="12" t="n">
        <v>43</v>
      </c>
      <c r="B46" s="12" t="n">
        <v>12</v>
      </c>
      <c r="C46" s="12" t="inlineStr">
        <is>
          <t>F4</t>
        </is>
      </c>
      <c r="D46" s="13" t="inlineStr">
        <is>
          <t>Generar las figuras finales de resultados</t>
        </is>
      </c>
      <c r="E46" s="13" t="inlineStr">
        <is>
          <t>Figuras</t>
        </is>
      </c>
      <c r="F46" s="12" t="inlineStr">
        <is>
          <t>Alta</t>
        </is>
      </c>
      <c r="G46" s="12" t="inlineStr">
        <is>
          <t>Pendiente</t>
        </is>
      </c>
      <c r="H46" s="12" t="inlineStr">
        <is>
          <t>09/10/2026</t>
        </is>
      </c>
      <c r="I46" s="13" t="n"/>
    </row>
    <row r="47" ht="25.5" customHeight="1" s="22">
      <c r="A47" s="12" t="n">
        <v>44</v>
      </c>
      <c r="B47" s="12" t="n">
        <v>13</v>
      </c>
      <c r="C47" s="12" t="inlineStr">
        <is>
          <t>F4</t>
        </is>
      </c>
      <c r="D47" s="13" t="inlineStr">
        <is>
          <t>Redactar el capitulo de resultados</t>
        </is>
      </c>
      <c r="E47" s="13" t="inlineStr">
        <is>
          <t>Capitulo completo</t>
        </is>
      </c>
      <c r="F47" s="12" t="inlineStr">
        <is>
          <t>Alta</t>
        </is>
      </c>
      <c r="G47" s="12" t="inlineStr">
        <is>
          <t>Pendiente</t>
        </is>
      </c>
      <c r="H47" s="12" t="inlineStr">
        <is>
          <t>16/10/2026</t>
        </is>
      </c>
      <c r="I47" s="13" t="n"/>
    </row>
    <row r="48" ht="25.5" customHeight="1" s="22">
      <c r="A48" s="12" t="n">
        <v>45</v>
      </c>
      <c r="B48" s="12" t="n">
        <v>13</v>
      </c>
      <c r="C48" s="12" t="inlineStr">
        <is>
          <t>F4</t>
        </is>
      </c>
      <c r="D48" s="13" t="inlineStr">
        <is>
          <t>Redactar el analisis y la discusion</t>
        </is>
      </c>
      <c r="E48" s="13" t="inlineStr">
        <is>
          <t>Capitulo completo</t>
        </is>
      </c>
      <c r="F48" s="12" t="inlineStr">
        <is>
          <t>Alta</t>
        </is>
      </c>
      <c r="G48" s="12" t="inlineStr">
        <is>
          <t>Pendiente</t>
        </is>
      </c>
      <c r="H48" s="12" t="inlineStr">
        <is>
          <t>16/10/2026</t>
        </is>
      </c>
      <c r="I48" s="13" t="n"/>
    </row>
    <row r="49" ht="25.5" customHeight="1" s="22">
      <c r="A49" s="12" t="n">
        <v>46</v>
      </c>
      <c r="B49" s="12" t="n">
        <v>13</v>
      </c>
      <c r="C49" s="12" t="inlineStr">
        <is>
          <t>F4</t>
        </is>
      </c>
      <c r="D49" s="13" t="inlineStr">
        <is>
          <t>Ensamblar el borrador completo y enviarlo al asesor</t>
        </is>
      </c>
      <c r="E49" s="13" t="inlineStr">
        <is>
          <t>Borrador al 80 por ciento</t>
        </is>
      </c>
      <c r="F49" s="12" t="inlineStr">
        <is>
          <t>Alta</t>
        </is>
      </c>
      <c r="G49" s="12" t="inlineStr">
        <is>
          <t>Pendiente</t>
        </is>
      </c>
      <c r="H49" s="12" t="inlineStr">
        <is>
          <t>16/10/2026</t>
        </is>
      </c>
      <c r="I49" s="13" t="n"/>
    </row>
    <row r="50" ht="25.5" customHeight="1" s="22">
      <c r="A50" s="12" t="n">
        <v>47</v>
      </c>
      <c r="B50" s="12" t="n">
        <v>13</v>
      </c>
      <c r="C50" s="12" t="inlineStr">
        <is>
          <t>F4</t>
        </is>
      </c>
      <c r="D50" s="13" t="inlineStr">
        <is>
          <t>Preparar diapositivas del informe de avance 2</t>
        </is>
      </c>
      <c r="E50" s="13" t="inlineStr">
        <is>
          <t>Presentacion</t>
        </is>
      </c>
      <c r="F50" s="12" t="inlineStr">
        <is>
          <t>Media</t>
        </is>
      </c>
      <c r="G50" s="12" t="inlineStr">
        <is>
          <t>Pendiente</t>
        </is>
      </c>
      <c r="H50" s="12" t="inlineStr">
        <is>
          <t>16/10/2026</t>
        </is>
      </c>
      <c r="I50" s="13" t="n"/>
    </row>
    <row r="51" ht="25.5" customHeight="1" s="22">
      <c r="A51" s="15" t="n">
        <v>48</v>
      </c>
      <c r="B51" s="15" t="n">
        <v>14</v>
      </c>
      <c r="C51" s="15" t="inlineStr">
        <is>
          <t>HITO</t>
        </is>
      </c>
      <c r="D51" s="16" t="inlineStr">
        <is>
          <t>Presentar informe de avance 2 (19 de octubre)</t>
        </is>
      </c>
      <c r="E51" s="16" t="inlineStr">
        <is>
          <t>Exposicion evaluada</t>
        </is>
      </c>
      <c r="F51" s="15" t="inlineStr">
        <is>
          <t>Alta</t>
        </is>
      </c>
      <c r="G51" s="15" t="inlineStr">
        <is>
          <t>Pendiente</t>
        </is>
      </c>
      <c r="H51" s="15" t="inlineStr">
        <is>
          <t>19/10/2026</t>
        </is>
      </c>
      <c r="I51" s="16" t="n"/>
    </row>
    <row r="52" ht="25.5" customHeight="1" s="22">
      <c r="A52" s="12" t="n">
        <v>49</v>
      </c>
      <c r="B52" s="12" t="n">
        <v>14</v>
      </c>
      <c r="C52" s="12" t="inlineStr">
        <is>
          <t>F4</t>
        </is>
      </c>
      <c r="D52" s="13" t="inlineStr">
        <is>
          <t>Incorporar las correcciones del asesor</t>
        </is>
      </c>
      <c r="E52" s="13" t="inlineStr">
        <is>
          <t>Documento revisado</t>
        </is>
      </c>
      <c r="F52" s="12" t="inlineStr">
        <is>
          <t>Alta</t>
        </is>
      </c>
      <c r="G52" s="12" t="inlineStr">
        <is>
          <t>Pendiente</t>
        </is>
      </c>
      <c r="H52" s="12" t="inlineStr">
        <is>
          <t>19/10/2026</t>
        </is>
      </c>
      <c r="I52" s="13" t="n"/>
    </row>
    <row r="53" ht="25.5" customHeight="1" s="22">
      <c r="A53" s="12" t="n">
        <v>50</v>
      </c>
      <c r="B53" s="12" t="n">
        <v>14</v>
      </c>
      <c r="C53" s="12" t="inlineStr">
        <is>
          <t>F4</t>
        </is>
      </c>
      <c r="D53" s="13" t="inlineStr">
        <is>
          <t>Redactar conclusiones y trabajo futuro</t>
        </is>
      </c>
      <c r="E53" s="13" t="inlineStr">
        <is>
          <t>Seccion final</t>
        </is>
      </c>
      <c r="F53" s="12" t="inlineStr">
        <is>
          <t>Alta</t>
        </is>
      </c>
      <c r="G53" s="12" t="inlineStr">
        <is>
          <t>Pendiente</t>
        </is>
      </c>
      <c r="H53" s="12" t="inlineStr">
        <is>
          <t>19/10/2026</t>
        </is>
      </c>
      <c r="I53" s="13" t="n"/>
    </row>
    <row r="54" ht="25.5" customHeight="1" s="22">
      <c r="A54" s="15" t="n">
        <v>51</v>
      </c>
      <c r="B54" s="15" t="n">
        <v>14</v>
      </c>
      <c r="C54" s="15" t="inlineStr">
        <is>
          <t>HITO</t>
        </is>
      </c>
      <c r="D54" s="16" t="inlineStr">
        <is>
          <t>Solicitar la carta de aval y proponer los jurados evaluadores</t>
        </is>
      </c>
      <c r="E54" s="16" t="inlineStr">
        <is>
          <t>Carta en tramite</t>
        </is>
      </c>
      <c r="F54" s="15" t="inlineStr">
        <is>
          <t>Alta</t>
        </is>
      </c>
      <c r="G54" s="15" t="inlineStr">
        <is>
          <t>Pendiente</t>
        </is>
      </c>
      <c r="H54" s="15" t="inlineStr">
        <is>
          <t>19/10/2026</t>
        </is>
      </c>
      <c r="I54" s="16" t="n"/>
    </row>
    <row r="55" ht="25.5" customHeight="1" s="22">
      <c r="A55" s="12" t="n">
        <v>52</v>
      </c>
      <c r="B55" s="12" t="n">
        <v>14</v>
      </c>
      <c r="C55" s="12" t="inlineStr">
        <is>
          <t>F4</t>
        </is>
      </c>
      <c r="D55" s="13" t="inlineStr">
        <is>
          <t>Limpiar y documentar el repositorio de codigo</t>
        </is>
      </c>
      <c r="E55" s="13" t="inlineStr">
        <is>
          <t>Repositorio ordenado</t>
        </is>
      </c>
      <c r="F55" s="12" t="inlineStr">
        <is>
          <t>Media</t>
        </is>
      </c>
      <c r="G55" s="12" t="inlineStr">
        <is>
          <t>Pendiente</t>
        </is>
      </c>
      <c r="H55" s="12" t="inlineStr">
        <is>
          <t>19/10/2026</t>
        </is>
      </c>
      <c r="I55" s="13" t="n"/>
    </row>
    <row r="56" ht="25.5" customHeight="1" s="22">
      <c r="A56" s="12" t="n">
        <v>53</v>
      </c>
      <c r="B56" s="12" t="n">
        <v>15</v>
      </c>
      <c r="C56" s="12" t="inlineStr">
        <is>
          <t>F4</t>
        </is>
      </c>
      <c r="D56" s="13" t="inlineStr">
        <is>
          <t>Revisar formato, citacion IEEE y bibliografia</t>
        </is>
      </c>
      <c r="E56" s="13" t="inlineStr">
        <is>
          <t>Documento formateado</t>
        </is>
      </c>
      <c r="F56" s="12" t="inlineStr">
        <is>
          <t>Alta</t>
        </is>
      </c>
      <c r="G56" s="12" t="inlineStr">
        <is>
          <t>Pendiente</t>
        </is>
      </c>
      <c r="H56" s="12" t="inlineStr">
        <is>
          <t>30/10/2026</t>
        </is>
      </c>
      <c r="I56" s="13" t="n"/>
    </row>
    <row r="57" ht="25.5" customHeight="1" s="22">
      <c r="A57" s="12" t="n">
        <v>54</v>
      </c>
      <c r="B57" s="12" t="n">
        <v>15</v>
      </c>
      <c r="C57" s="12" t="inlineStr">
        <is>
          <t>F4</t>
        </is>
      </c>
      <c r="D57" s="13" t="inlineStr">
        <is>
          <t>Revision final de figuras, tablas y numeracion</t>
        </is>
      </c>
      <c r="E57" s="13" t="inlineStr">
        <is>
          <t>Documento revisado</t>
        </is>
      </c>
      <c r="F57" s="12" t="inlineStr">
        <is>
          <t>Alta</t>
        </is>
      </c>
      <c r="G57" s="12" t="inlineStr">
        <is>
          <t>Pendiente</t>
        </is>
      </c>
      <c r="H57" s="12" t="inlineStr">
        <is>
          <t>30/10/2026</t>
        </is>
      </c>
      <c r="I57" s="13" t="n"/>
    </row>
    <row r="58" ht="25.5" customHeight="1" s="22">
      <c r="A58" s="12" t="n">
        <v>55</v>
      </c>
      <c r="B58" s="12" t="n">
        <v>15</v>
      </c>
      <c r="C58" s="12" t="inlineStr">
        <is>
          <t>F4</t>
        </is>
      </c>
      <c r="D58" s="13" t="inlineStr">
        <is>
          <t>Publicar el repositorio de codigo en acceso abierto</t>
        </is>
      </c>
      <c r="E58" s="13" t="inlineStr">
        <is>
          <t>Enlace publico</t>
        </is>
      </c>
      <c r="F58" s="12" t="inlineStr">
        <is>
          <t>Media</t>
        </is>
      </c>
      <c r="G58" s="12" t="inlineStr">
        <is>
          <t>Pendiente</t>
        </is>
      </c>
      <c r="H58" s="12" t="inlineStr">
        <is>
          <t>30/10/2026</t>
        </is>
      </c>
      <c r="I58" s="13" t="n"/>
    </row>
    <row r="59" ht="25.5" customHeight="1" s="22">
      <c r="A59" s="15" t="n">
        <v>56</v>
      </c>
      <c r="B59" s="15" t="n">
        <v>15</v>
      </c>
      <c r="C59" s="15" t="inlineStr">
        <is>
          <t>HITO</t>
        </is>
      </c>
      <c r="D59" s="16" t="inlineStr">
        <is>
          <t>Entregar el informe final con carta de aval (30 de octubre)</t>
        </is>
      </c>
      <c r="E59" s="16" t="inlineStr">
        <is>
          <t>ENTREGA FINAL</t>
        </is>
      </c>
      <c r="F59" s="15" t="inlineStr">
        <is>
          <t>Alta</t>
        </is>
      </c>
      <c r="G59" s="15" t="inlineStr">
        <is>
          <t>Pendiente</t>
        </is>
      </c>
      <c r="H59" s="15" t="inlineStr">
        <is>
          <t>30/10/2026</t>
        </is>
      </c>
      <c r="I59" s="16" t="n"/>
    </row>
    <row r="60" ht="25.5" customHeight="1" s="22">
      <c r="A60" s="12" t="n">
        <v>57</v>
      </c>
      <c r="B60" s="12" t="n">
        <v>5</v>
      </c>
      <c r="C60" s="12" t="inlineStr">
        <is>
          <t>F1</t>
        </is>
      </c>
      <c r="D60" s="13" t="inlineStr">
        <is>
          <t>Benchmark CPU vs GPU: escalado con N y con el sobremuestreo s</t>
        </is>
      </c>
      <c r="E60" s="13" t="inlineStr">
        <is>
          <t>Curvas de tiempo y aceleracion</t>
        </is>
      </c>
      <c r="F60" s="12" t="inlineStr">
        <is>
          <t>Alta</t>
        </is>
      </c>
      <c r="G60" s="12" t="inlineStr">
        <is>
          <t>Hecho</t>
        </is>
      </c>
      <c r="H60" s="12" t="inlineStr">
        <is>
          <t>14/08/2026</t>
        </is>
      </c>
      <c r="I60" s="13" t="inlineStr">
        <is>
          <t>scripts/comparacion.py -&gt; resultados/tiempos.png, aceleracion.png, escalado_N.csv, escalado_s.csv. Separa la aceleracion por hardware (x) de la aceleracion a igual precision (x_iso) y reporta la fraccion del tiempo que se va en transferencias.</t>
        </is>
      </c>
    </row>
    <row r="61" ht="25.5" customHeight="1" s="22">
      <c r="A61" s="12" t="n">
        <v>58</v>
      </c>
      <c r="B61" s="12" t="n">
        <v>5</v>
      </c>
      <c r="C61" s="12" t="inlineStr">
        <is>
          <t>F1</t>
        </is>
      </c>
      <c r="D61" s="13" t="inlineStr">
        <is>
          <t>Parchar los repos de referencia y contrastar CamposT contra pyDHM</t>
        </is>
      </c>
      <c r="E61" s="13" t="inlineStr">
        <is>
          <t>Script de parches + tabla de contraste</t>
        </is>
      </c>
      <c r="F61" s="12" t="inlineStr">
        <is>
          <t>Media</t>
        </is>
      </c>
      <c r="G61" s="12" t="inlineStr">
        <is>
          <t>Hecho</t>
        </is>
      </c>
      <c r="H61" s="12" t="inlineStr">
        <is>
          <t>14/08/2026</t>
        </is>
      </c>
      <c r="I61" s="13" t="inlineStr">
        <is>
          <t>Commit 8aa0403. parchar_referencias.py: ocho parches idempotentes, ninguno cambia la fisica, con marca [parche TG] en cada linea tocada. contraste_referencias.py: fft_asm coincide con pyDHM.angularSpectrum a 1e-8.</t>
        </is>
      </c>
    </row>
    <row r="62" ht="25.5" customHeight="1" s="22">
      <c r="A62" s="12" t="n">
        <v>59</v>
      </c>
      <c r="B62" s="12" t="n">
        <v>6</v>
      </c>
      <c r="C62" s="12" t="inlineStr">
        <is>
          <t>F1</t>
        </is>
      </c>
      <c r="D62" s="13" t="inlineStr">
        <is>
          <t>Reproducir el escenario de la Tabla 1 (apertura y frente propagado)</t>
        </is>
      </c>
      <c r="E62" s="13" t="inlineStr">
        <is>
          <t>Figura del escenario</t>
        </is>
      </c>
      <c r="F62" s="12" t="inlineStr">
        <is>
          <t>Media</t>
        </is>
      </c>
      <c r="G62" s="12" t="inlineStr">
        <is>
          <t>Hecho</t>
        </is>
      </c>
      <c r="H62" s="12" t="inlineStr">
        <is>
          <t>21/08/2026</t>
        </is>
      </c>
      <c r="I62" s="13" t="inlineStr">
        <is>
          <t>Commit c6963d1, repartida en tres figuras por el commit 641861a: scripts/figura_escenario.py -&gt; resultados/escenario/apertura.png, frente_propagado.png y corte_axial.png. Insumo de la tarea 24: es donde se resuelve que la lente del paper es un pinhole virtual.</t>
        </is>
      </c>
    </row>
    <row r="63" ht="118.8" customHeight="1" s="22">
      <c r="A63" s="12" t="n">
        <v>60</v>
      </c>
      <c r="B63" s="12" t="n">
        <v>6</v>
      </c>
      <c r="C63" s="12" t="inlineStr">
        <is>
          <t>F1</t>
        </is>
      </c>
      <c r="D63" s="13" t="inlineStr">
        <is>
          <t>Corregir el factor 2 en la conversion del target USAF a lp/mm</t>
        </is>
      </c>
      <c r="E63" s="13" t="inlineStr">
        <is>
          <t>Geometria contrastada contra la imagen</t>
        </is>
      </c>
      <c r="F63" s="12" t="inlineStr">
        <is>
          <t>Alta</t>
        </is>
      </c>
      <c r="G63" s="12" t="inlineStr">
        <is>
          <t>Hecho</t>
        </is>
      </c>
      <c r="H63" s="12" t="inlineStr">
        <is>
          <t>21/08/2026</t>
        </is>
      </c>
      <c r="I63" s="13" t="inlineStr">
        <is>
          <t>periodos_usaf devolvia el ancho de barra llamandolo periodo. Un par de lineas es barra+hueco = 2b, asi que toda cifra de resolucion habria salido con factor 2. Alimenta directamente la tarea 40. Ahora anchos_barra_usaf / periodos_usaf / lineas_por_mm_usaf salen de una sola fuente, la misma con la que dibuja usaf_like.</t>
        </is>
      </c>
    </row>
    <row r="64" ht="145.2" customHeight="1" s="22">
      <c r="A64" s="12" t="n">
        <v>61</v>
      </c>
      <c r="B64" s="12" t="n">
        <v>6</v>
      </c>
      <c r="C64" s="12" t="inlineStr">
        <is>
          <t>F1</t>
        </is>
      </c>
      <c r="D64" s="13" t="inlineStr">
        <is>
          <t>Calcular K_fx y K_fy por eje para campos no cuadrados</t>
        </is>
      </c>
      <c r="E64" s="13" t="inlineStr">
        <is>
          <t>Propagador correcto en malla rectangular</t>
        </is>
      </c>
      <c r="F64" s="12" t="inlineStr">
        <is>
          <t>Alta</t>
        </is>
      </c>
      <c r="G64" s="12" t="inlineStr">
        <is>
          <t>Hecho</t>
        </is>
      </c>
      <c r="H64" s="12" t="inlineStr">
        <is>
          <t>21/08/2026</t>
        </is>
      </c>
      <c r="I64" s="13" t="inlineStr">
        <is>
          <t>La Tabla 1 los lista por separado y mpasm usaba uno solo. Kf va como ~1/sqrt(N), asi que el eje corto quedaba submuestreado en silencio. Con un target USAF en malla 64x128 el error es 5x a 63x mayor; con un gaussiano NO se aprecia, porque hace falta contenido cerca del limite de banda para que aparezca aliasing. Los sensores de DLHM no son cuadrados: esto habria aparecido en la semana 11.</t>
        </is>
      </c>
    </row>
    <row r="65" ht="132" customHeight="1" s="22">
      <c r="A65" s="12" t="n">
        <v>62</v>
      </c>
      <c r="B65" s="12" t="n">
        <v>6</v>
      </c>
      <c r="C65" s="12" t="inlineStr">
        <is>
          <t>F1</t>
        </is>
      </c>
      <c r="D65" s="13" t="inlineStr">
        <is>
          <t>Separar el paquete por responsabilidad (referencias, metricas, pipeline)</t>
        </is>
      </c>
      <c r="E65" s="13" t="inlineStr">
        <is>
          <t>Paquete navegable</t>
        </is>
      </c>
      <c r="F65" s="12" t="inlineStr">
        <is>
          <t>Media</t>
        </is>
      </c>
      <c r="G65" s="12" t="inlineStr">
        <is>
          <t>Hecho</t>
        </is>
      </c>
      <c r="H65" s="12" t="inlineStr">
        <is>
          <t>21/08/2026</t>
        </is>
      </c>
      <c r="I65" s="13" t="inlineStr">
        <is>
          <t>propagadores.py habia llegado a 539 lineas con cuatro asuntos dentro y campos.py mezclaba construir el campo con propagarlo y guardarlo. Ahora seis modulos de un tema cada uno, ninguno de mas de 235 lineas: campos, propagadores, referencias, metricas, pipeline y backend. 158 tests en verde antes y despues: el comportamiento no cambio.</t>
        </is>
      </c>
    </row>
    <row r="66" ht="237.6" customHeight="1" s="22">
      <c r="A66" s="12" t="n">
        <v>63</v>
      </c>
      <c r="B66" s="12" t="n">
        <v>6</v>
      </c>
      <c r="C66" s="12" t="inlineStr">
        <is>
          <t>F1</t>
        </is>
      </c>
      <c r="D66" s="13" t="inlineStr">
        <is>
          <t>Corregir Kf a distancia negativa y comprobar la ventana de salida de MPASM</t>
        </is>
      </c>
      <c r="E66" s="13" t="inlineStr">
        <is>
          <t>Propagador correcto al retropropagar</t>
        </is>
      </c>
      <c r="F66" s="12" t="inlineStr">
        <is>
          <t>Alta</t>
        </is>
      </c>
      <c r="G66" s="12" t="inlineStr">
        <is>
          <t>Hecho</t>
        </is>
      </c>
      <c r="H66" s="12" t="inlineStr">
        <is>
          <t>21/08/2026</t>
        </is>
      </c>
      <c r="I66" s="13" t="inlineStr">
        <is>
          <t>Commit f166a17. kf_auto aplicaba la Ec. (14) tal cual a z &lt; 0, donde fmax sale negativo y el max(1.0, ...) devuelve 1: la compresion quedaba apagada y MPASM corria como un FFT-ASM rellenado de ceros en TODA retropropagacion, sin avisar. Kf depende de |z| y no de z, porque H(-z) = conj(H(z)). Error contra la referencia a 400 mm: de 5.4 a 1.1e-2. Ademas _comprobar_ventana aborta si r*mag &gt; s*Kf; antes esa violacion devolvia copias periodicas del campo superpuestas, con error relativo 1.0 contra el gaussiano analitico y sin fallar ni avisar. Ese limite es el primer criterio operativo de la tarea 31. De 177 a 186 tests.</t>
        </is>
      </c>
    </row>
    <row r="67" ht="343.2" customHeight="1" s="22">
      <c r="A67" s="12" t="n">
        <v>64</v>
      </c>
      <c r="B67" s="12" t="n">
        <v>6</v>
      </c>
      <c r="C67" s="12" t="inlineStr">
        <is>
          <t>F2</t>
        </is>
      </c>
      <c r="D67" s="13" t="inlineStr">
        <is>
          <t>Retropropagacion de hologramas: modulo, CLI y suite de verificacion</t>
        </is>
      </c>
      <c r="E67" s="13" t="inlineStr">
        <is>
          <t>Reconstruccion sobre un barrido de z</t>
        </is>
      </c>
      <c r="F67" s="12" t="inlineStr">
        <is>
          <t>Alta</t>
        </is>
      </c>
      <c r="G67" s="12" t="inlineStr">
        <is>
          <t>Hecho</t>
        </is>
      </c>
      <c r="H67" s="12" t="inlineStr">
        <is>
          <t>21/08/2026</t>
        </is>
      </c>
      <c r="I67" s="13" t="inlineStr">
        <is>
          <t>ADELANTADA: es la mitad general de la tarea 26 (semana 9). CamposT/retropropagacion.py carga la imagen como INTENSIDAD medida (load_field mode='holograma', U = sqrt(I)), propaga a -z con los tres propagadores sobre un barrido de distancias y escribe resultados/retropropagacion/&lt;holograma&gt;/&lt;metodo&gt;/. CLI 'python -m CamposT.retropropagacion' y scripts/mi_holograma.py con constantes editables, que llama a su main() para que no puedan divergir. 19 tests: la reconstruccion RE-LOCALIZA el objeto (del 0.10 % al 7.5 % del contraste sobre una huella que es el 0.39 % del plano) y queda escrito que el signo NO se puede verificar sobre la intensidad, porque con entrada real |U(-z)|^2 = |U(+z)|^2 (medido: 3.5e-16): es la ambiguedad de la imagen gemela. Dos limites declarados: iluminacion colimada, sin la correccion de fuente puntual de DLHM, y sin supresion de la gemela. Commit b916792.</t>
        </is>
      </c>
    </row>
    <row r="68" ht="409.6" customHeight="1" s="22">
      <c r="A68" s="12" t="n">
        <v>65</v>
      </c>
      <c r="B68" s="12" t="n">
        <v>6</v>
      </c>
      <c r="C68" s="12" t="inlineStr">
        <is>
          <t>F1</t>
        </is>
      </c>
      <c r="D68" s="13" t="inlineStr">
        <is>
          <t>Completar la serie de ida y vuelta: un script suelto por propagador</t>
        </is>
      </c>
      <c r="E68" s="13" t="inlineStr">
        <is>
          <t>Contraste independiente del paquete</t>
        </is>
      </c>
      <c r="F68" s="12" t="inlineStr">
        <is>
          <t>Media</t>
        </is>
      </c>
      <c r="G68" s="12" t="inlineStr">
        <is>
          <t>Hecho</t>
        </is>
      </c>
      <c r="H68" s="12" t="inlineStr">
        <is>
          <t>21/08/2026</t>
        </is>
      </c>
      <c r="I68" s="13" t="inlineStr">
        <is>
          <t>Commit 439394b. retro_blas.py y retro_mpasm.py completan lo que retro_fft_angular.py empezo: la misma ida y vuelta (objeto a +z, holograma, vuelta a -z) en una pieza que se lee entera, una por propagador y sin importar CamposT. Verificado por dos caminos. Uno: donde los tres metodos coinciden por construccion tienen que dar lo mismo, y a Z = 100 mm sobre BenchmarkTarget reducido a 512 px -mascara de BL-ASM inactiva y Kf = 1- los tres devuelven +0.9404 de correlacion en la vuelta A y +0.7730 en la B, y enfocan en la misma z. Dos: contra algo ya verificado, el BL-ASM del script da 0.000e+00 contra el blas de CamposT en malla cuadrada y rectangular y en los dos signos de z, y el MPASM da 0.000e+00 contra el original de Zhao en CPU complex128 (7.67e-07 en GPU complex64, que es la mantisa). retro_mpasm.py lleva el MatrixDftCPU de Zhao copiado tal cual y enseña sus dos erratas corriendo: a Z = 2000 mm imprime Kf = 2.013 por el A^2*B contra 1.305 por el A^2+B del paper, y Kf = 1.000 a z = -2000 mm, o sea la compresion apagada en toda retropropagacion (el bug de la tarea 63, visto en el codigo publicado). retro_blas.py no lleva referencia de terceros porque no la hay: pyDHM trae fresnel, bluestein y angularSpectrum y ninguno limita la banda. DOS HALLAZGOS para el documento: comprimir tambien es descartar -Kf &gt; 1 estrecha el rango muestreado a +-1/(2*delta*Kf) y lo de fuera no vuelve, asi que MPASM con compresion NO es reversible: +0.662 de correlacion a Z = 2000 mm, practicamente lo mismo que BL-ASM ahi (+0.662), la misma perdida por dos caminos-; y el barrido de foco sale sesgado hacia distancias cortas en los dos metodos, porque la banda util cae con z a la vez que la nitidez, lo que alimenta el criterio de autofoco de la tarea 27.</t>
        </is>
      </c>
    </row>
    <row r="69" ht="25.5" customHeight="1" s="22">
      <c r="A69" s="12" t="n">
        <v>66</v>
      </c>
      <c r="B69" s="12" t="n">
        <v>7</v>
      </c>
      <c r="C69" s="12" t="inlineStr">
        <is>
          <t>F1</t>
        </is>
      </c>
      <c r="D69" s="13" t="inlineStr">
        <is>
          <t>Centrar la rejilla de frecuencias con fftfreq en FFT-ASM y BL-ASM</t>
        </is>
      </c>
      <c r="E69" s="13" t="inlineStr">
        <is>
          <t>Propagadores correctos en malla impar</t>
        </is>
      </c>
      <c r="F69" s="12" t="inlineStr">
        <is>
          <t>Alta</t>
        </is>
      </c>
      <c r="G69" s="12" t="inlineStr">
        <is>
          <t>Hecho</t>
        </is>
      </c>
      <c r="H69" s="12" t="inlineStr">
        <is>
          <t>28/08/2026</t>
        </is>
      </c>
      <c r="I69" s="13" t="inlineStr">
        <is>
          <t>Commit 93bd392. Los dos construian la rejilla como (arange(n) - n/2)/(delta*n) y la emparejaban con fftshift, que deja la componente continua en el indice n//2: esa expresion vale 0 ahi SOLO SI n ES PAR. Con n impar la rejilla queda medio paso corrida, H se evalua fuera de sitio y el campo propagado sale desplazado lambda*z*(0.5/(delta*n))/delta pixeles. Medido contra el gaussiano analitico en malla 65x65: RMS 4.2e-2 antes y 5.5e-4 despues; en 64x64 las dos rejillas coinciden hasta el ultimo bit, asi que esto NO puede mover ningun resultado anterior. El fallo era MUDO: el medio paso se aplica en la ida y otra vez en la vuelta y se cancela, asi que ninguna prueba de reversibilidad podia verlo y hubo que contrastar contra una solucion analitica. mpasm no lo tenia -construye su rejilla junto con las matrices de la DFT, sin fftshift de por medio-. Ahora frecuencias_fft(n, delta) es la unica fuente para los dos, la misma correccion va en los scripts sueltos via indices_centrados(), y hay 16 pruebas nuevas, una de ellas de regresion con los dos lados fijados por monkeypatch.</t>
        </is>
      </c>
    </row>
    <row r="70" ht="25.5" customHeight="1" s="22">
      <c r="A70" s="12" t="n">
        <v>67</v>
      </c>
      <c r="B70" s="12" t="n">
        <v>7</v>
      </c>
      <c r="C70" s="12" t="inlineStr">
        <is>
          <t>F2</t>
        </is>
      </c>
      <c r="D70" s="13" t="inlineStr">
        <is>
          <t>Anadir retro_holograma.py: retropropagar un holograma con el propagador que elijas</t>
        </is>
      </c>
      <c r="E70" s="13" t="inlineStr">
        <is>
          <t>Reconstruccion sobre dato ya registrado</t>
        </is>
      </c>
      <c r="F70" s="12" t="inlineStr">
        <is>
          <t>Media</t>
        </is>
      </c>
      <c r="G70" s="12" t="inlineStr">
        <is>
          <t>Hecho</t>
        </is>
      </c>
      <c r="H70" s="12" t="inlineStr">
        <is>
          <t>28/08/2026</t>
        </is>
      </c>
      <c r="I70" s="13" t="inlineStr">
        <is>
          <t>Commit 4939608. Los otros retro_*.py demuestran un propagador cada uno sobre un objeto sintetico y hacen la ida y la vuelta; este no demuestra ninguno: recibe un holograma que ya existe y lo lleva al plano del objeto llamando a CamposT.pipeline.propagar(), en vez de cargar una cuarta copia de los propagadores. USAR_ANGULAR / USAR_BLAS / USAR_MPASM: varios en True se comparan en la misma figura, sobre el mismo dato y la misma z, que es la unica forma honesta de compararlos. RECORTAR abre la imagen y deja arrastrar la ventana con el raton; imprime el radio del cono de difraccion z*tan(theta)/delta -534 px con 633 nm, 3.45 um y z = 20 mm- y avisa cuando la ROI se queda corta, pero recorta igual: es una decision del que mira, no una guarda. La extension decide la entrada: imagen -&gt; intensidad medida, campo = sqrt(I), con la gemela encima; .npy -&gt; campo complejo, y ahi la vuelta deshace la ida exactamente. GAMMA_GUARDADO deshace la gamma del PNG antes de la raiz: con los 0.6 de resultados/campos/ no solo falsea el contraste, mueve la distancia a la que enfoca la reconstruccion. Es el script con el que se atacaran los hologramas reales de la semana 11.</t>
        </is>
      </c>
    </row>
    <row r="71" ht="25.5" customHeight="1" s="22">
      <c r="A71" s="12" t="n">
        <v>68</v>
      </c>
      <c r="B71" s="12" t="n">
        <v>7</v>
      </c>
      <c r="C71" s="12" t="inlineStr">
        <is>
          <t>F1</t>
        </is>
      </c>
      <c r="D71" s="13" t="inlineStr">
        <is>
          <t>Anadir el modo mixto de objeto: amplitud y fase acopladas</t>
        </is>
      </c>
      <c r="E71" s="13" t="inlineStr">
        <is>
          <t>Objeto que absorbe y retarda</t>
        </is>
      </c>
      <c r="F71" s="12" t="inlineStr">
        <is>
          <t>Media</t>
        </is>
      </c>
      <c r="G71" s="12" t="inlineStr">
        <is>
          <t>Hecho</t>
        </is>
      </c>
      <c r="H71" s="12" t="inlineStr">
        <is>
          <t>28/08/2026</t>
        </is>
      </c>
      <c r="I71" s="13" t="inlineStr">
        <is>
          <t>Commit 66efe91. load_field tenia los dos extremos -'amplitud' con U0 = t y fase 0, y 'fase' con U0 = exp(i*d*t) y amplitud plana- pero no el caso general, que es el que modela una muestra real: U0 = t*exp(i*phase_depth*t). LA TRAMPA, escrita en el docstring y fijada en test_objeto_mixto.py: sobre un objeto BINARIO el modo es degenerado y phase_depth NO HACE NADA, porque queda 0 donde t=0 y exp(i*phase_depth) donde t=1, o sea el campo entero por una constante de modulo 1: una fase GLOBAL, que se cancela en |U|^2 y conmuta con la propagacion. Medido sobre usaf_like barriendo phase_depth de 0 a 2pi: contraste del holograma 2.129 y correlacion de la reconstruccion 0.725, las dos constantes hasta el ultimo decimal. usaf_like es binario, asi que el modo necesita escala de grises: resultados/campos/entrada_gris.png, el USAF suavizado a 219 niveles. scripts/mi_prueba.py exploro el parametro en linea (commit 1c335ba) y al 31/08 esta borrado en el arbol de trabajo, sin commitear.</t>
        </is>
      </c>
    </row>
    <row r="72" ht="25.5" customHeight="1" s="22">
      <c r="A72" s="12" t="n">
        <v>69</v>
      </c>
      <c r="B72" s="12" t="n">
        <v>7</v>
      </c>
      <c r="C72" s="12" t="inlineStr">
        <is>
          <t>F1</t>
        </is>
      </c>
      <c r="D72" s="13" t="inlineStr">
        <is>
          <t>Quitar la gamma del guardado: los barridos pintaban amplitud etiquetada como intensidad</t>
        </is>
      </c>
      <c r="E72" s="13" t="inlineStr">
        <is>
          <t>Pilas de foco en intensidad de verdad</t>
        </is>
      </c>
      <c r="F72" s="12" t="inlineStr">
        <is>
          <t>Alta</t>
        </is>
      </c>
      <c r="G72" s="12" t="inlineStr">
        <is>
          <t>Hecho</t>
        </is>
      </c>
      <c r="H72" s="12" t="inlineStr">
        <is>
          <t>28/08/2026</t>
        </is>
      </c>
      <c r="I72" s="13" t="inlineStr">
        <is>
          <t>Commits 30cfabb (spec) y 8733a19. guardar_png aplicaba gamma 0.5, justificada en su docstring para que la pila y la figura del mismo barrido se parecieran. Pero los paneles aplicaban la misma gamma, y (|U|^2/max)^0.5 = |U|/sqrt(max): ninguna de las dos ensenaba intensidad, las dos ensenaban AMPLITUD con la etiqueta |U|^2 puesta. Medido sobre la reconstruccion a 150 mm: nivel medio 35 sin gamma frente a 89 con ella. La division por el maximo se queda -un PNG de 8 bits no admite floats- porque es lineal y no cambia la relacion entre valores. La prueba de la gamma se reescribio en DOS, una de lo que si se escribe y otra de lo que no: sin la segunda, quien reintrodujera el **0.5 veria fallar una prueba que habla de intensidad y podria pensar que la que sobra es la prueba.</t>
        </is>
      </c>
    </row>
    <row r="73" ht="25.5" customHeight="1" s="22">
      <c r="A73" s="12" t="n">
        <v>70</v>
      </c>
      <c r="B73" s="12" t="n">
        <v>7</v>
      </c>
      <c r="C73" s="12" t="inlineStr">
        <is>
          <t>F1</t>
        </is>
      </c>
      <c r="D73" s="13" t="inlineStr">
        <is>
          <t>Unificar la serie retro_*: mismo esqueleto y misma figura de 3x3</t>
        </is>
      </c>
      <c r="E73" s="13" t="inlineStr">
        <is>
          <t>Cuatro scripts comparables entre si</t>
        </is>
      </c>
      <c r="F73" s="12" t="inlineStr">
        <is>
          <t>Media</t>
        </is>
      </c>
      <c r="G73" s="12" t="inlineStr">
        <is>
          <t>Hecho</t>
        </is>
      </c>
      <c r="H73" s="12" t="inlineStr">
        <is>
          <t>28/08/2026</t>
        </is>
      </c>
      <c r="I73" s="13" t="inlineStr">
        <is>
          <t>Commits 476948e y e39a2d0. retro_fft_angular baja de 830 a 571 lineas -se queda el calculo (objeto, +Z, holograma, -Z, reconstruccion) y las figuras; se van siete auxiliares, el relleno de ceros y la vuelta B- y retro_mpasm adopta el mismo esqueleto: ENTRADA, PHI_MAX y los parametros en mayuscula. La figura es de 3x3: |U|^2 SIN gamma; la fase con la opacidad pesada por amplitud, porque sin eso el 91.3 % del plano tiene |U| ~ 1.3e-16 -el 2.9e-29 % de la energia- y np.angle de esos numeros llena el panel de ruido uniforme; y el campo complejo por coloreado de dominio, tono = fase y brillo = amplitud, que es donde se ve que objeto y reconstruccion son el MISMO CAMPO y no solo la misma intensidad. El barrido lleva dos metricas independientes -nitidez y RMS de fase- y sobre el USAF a Z = 10 las dos dan 10.00 mm. Se retira retro_intensidad.py. DEUDA CERRADA el 01/09 (tarea 72): las siete citas colgadas a ese archivo -seis en los tres retro_*.py y una en mi_test.py- ahora apuntan a scripts/retro_holograma.py.</t>
        </is>
      </c>
    </row>
    <row r="74" ht="25.5" customHeight="1" s="22">
      <c r="A74" s="12" t="n">
        <v>71</v>
      </c>
      <c r="B74" s="12" t="n">
        <v>7</v>
      </c>
      <c r="C74" s="12" t="inlineStr">
        <is>
          <t>F1</t>
        </is>
      </c>
      <c r="D74" s="13" t="inlineStr">
        <is>
          <t>Regenerar la bateria de resultados con el codigo al dia</t>
        </is>
      </c>
      <c r="E74" s="13" t="inlineStr">
        <is>
          <t>Figuras y tablas del avance 1</t>
        </is>
      </c>
      <c r="F74" s="12" t="inlineStr">
        <is>
          <t>Media</t>
        </is>
      </c>
      <c r="G74" s="12" t="inlineStr">
        <is>
          <t>Hecho</t>
        </is>
      </c>
      <c r="H74" s="12" t="inlineStr">
        <is>
          <t>28/08/2026</t>
        </is>
      </c>
      <c r="I74" s="13" t="inlineStr">
        <is>
          <t>Corrida el 30/08, despues de la rejilla centrada (tarea 66), para que lo que se ensena el 31 salga del codigo de hoy y no de corridas viejas: comparacion.py -&gt; tiempos.png, aceleracion.png, escalado_N.csv y escalado_s.csv; figura_escenario.py -&gt; escenario/; y la retropropagacion del holograma z0150 con los tres propagadores sobre 30 distancias de 10 a 150 mm -&gt; retropropagacion/z0150/. Sirve ademas de comprobacion de que el paquete corre de punta a punta despues de los cambios de la semana. CERRADO el 01/09 (tarea 72): estas salidas se sacaron del repo en bd80c2f por regenerables pero no entraron en .gitignore y reaparecian sin seguimiento; ahora resultados/ va por lista blanca.</t>
        </is>
      </c>
    </row>
    <row r="75" s="22">
      <c r="A75" s="12" t="n">
        <v>72</v>
      </c>
      <c r="B75" s="12" t="n">
        <v>8</v>
      </c>
      <c r="C75" s="12" t="inlineStr">
        <is>
          <t>F1</t>
        </is>
      </c>
      <c r="D75" s="13" t="inlineStr">
        <is>
          <t>Cerrar el arbol de trabajo y las deudas abiertas de la semana 7</t>
        </is>
      </c>
      <c r="E75" s="13" t="inlineStr">
        <is>
          <t>Repo limpio y suite mas rapida</t>
        </is>
      </c>
      <c r="F75" s="12" t="inlineStr">
        <is>
          <t>Media</t>
        </is>
      </c>
      <c r="G75" s="12" t="inlineStr">
        <is>
          <t>Hecho</t>
        </is>
      </c>
      <c r="H75" s="12" t="inlineStr">
        <is>
          <t>04/09/2026</t>
        </is>
      </c>
      <c r="I75" s="13" t="inlineStr">
        <is>
          <t>Cerradas las deudas que venian escritas en las notas de las tareas 9, 70 y 71. UNO: tests/mi_test.py no costaba 12.2 s de recoleccion, COLGABA pytest. Su cuerpo de modulo propaga y llama seis veces a plt.show(), el backend de esta maquina es TkAgg, y pytest lo IMPORTA en cada recoleccion porque el nombre casa con *_test.py: la recoleccion se quedaba esperando a que alguien cerrara las ventanas (medido: mas de 120 s sin volver). Movido a scripts/mi_prueba_angular.py con un docstring que dice que no es una prueba, que esta superado por retro_fft_angular.py y que de su bloque de parametros solo se leen RUTA, LAMB y DELTA. LA SUITE BAJA DE 56 s A 38.29 s, 299 casos en verde antes y despues. DOS: las siete referencias colgadas a scripts/retro_intensidad.py -retirado en el commit e39a2d0- ahora apuntan a scripts/retro_holograma.py, que es de verdad lo que prometen: reconstruir desde intensidad medida en vez de deshacer una propagacion. TRES: resultados/ pasa a lista blanca (resultados/* mas !resultados/campos/) en vez de enumerar lo regenerable, porque enumerar ya fallo una vez: bd80c2f los saco del repo sin anadirlos al .gitignore y volvieron sin seguimiento a la primera corrida. CUATRO: revertidos los Z = 150, S = 1 y la RUTA a BenchmarkTarget que estaban sin commitear en los tres retro_*.py: eran una prueba, no una decision. CERRADO TODO EN LA MISMA SESION: se retira tests/z0020.png, que entro por error en 8733a19 y no lo lee ningun test; y main, que estaba en 3ef0cfa -la reorganizacion de la semana 5, 66 archivos y 8780 lineas por detras-, avanza por fusion rapida a este trabajo y se empuja a origin, asi que el repo publico deja de estar vacio (insumo de la tarea 55). Commit cbf3587. Quedan actualizadas las notas de las tareas 9, 70 y 71, que hasta hoy describian como abiertas deudas ya cerradas.</t>
        </is>
      </c>
    </row>
    <row r="76" s="22">
      <c r="A76" s="12" t="n">
        <v>73</v>
      </c>
      <c r="B76" s="12" t="n">
        <v>8</v>
      </c>
      <c r="C76" s="12" t="inlineStr">
        <is>
          <t>F3</t>
        </is>
      </c>
      <c r="D76" s="13" t="inlineStr">
        <is>
          <t>Preparar la hoja de parametros y el modulo que recibira las medidas</t>
        </is>
      </c>
      <c r="E76" s="13" t="inlineStr">
        <is>
          <t>Checklist de laboratorio + CamposT/montaje.py</t>
        </is>
      </c>
      <c r="F76" s="12" t="inlineStr">
        <is>
          <t>Alta</t>
        </is>
      </c>
      <c r="G76" s="12" t="inlineStr">
        <is>
          <t>Hecho</t>
        </is>
      </c>
      <c r="H76" s="12" t="inlineStr">
        <is>
          <t>04/09/2026</t>
        </is>
      </c>
      <c r="I76" s="13" t="inlineStr">
        <is>
          <t>Preparado el entregable de la tarea 17 antes de la visita al laboratorio, para que la media jornada rinda y no haga falta una segunda. DOS PIEZAS. docs/hoja_parametros_montaje.md es el checklist que se lleva en la mano: cada magnitud con sus unidades, la conversion a milimetros, por que la necesita el codigo, y tres avisos que salen de fallos ya medidos -que delta_x y delta_y se anoten por separado aunque parezcan iguales, porque Kf va por eje desde la tarea 61; que el rango alcanzable de z define la malla del barrido de la tarea 29; y que hay que preguntar si la camara aplica gamma, porque la tarea 69 midio que la gamma MUEVE la distancia a la que enfoca la reconstruccion, con un metodo para averiguarlo alli mismo si no consta: dos exposiciones conocidas, y si es lineal el nivel medio se duplica-. CamposT/montaje.py es el destino de los numeros, con TABLA1 y MONTAJE SEPARADOS. HALLAZGO QUE LO MOTIVA: el repo tenia TRES longitudes de onda conviviendo -632.8 nm en figura_escenario.py y exactitud.py, que es la Tabla 1 y esta bien; 633 nm en los cuatro retro_*.py; y 405 nm en comparacion.py y mi_holograma.py-. Entre 633 y 405 hay un 56 %, y lambda entra en z_lim, en Kf, en el radio del cono de difraccion y en la distancia de enfoque. DELTA = 3.45e-3 estaba repetido en siete archivos, sin verificar. Un parametro sin medir NO vale un numero: vale el centinela SinMedir, que revienta con ParametroSinMedir en cuanto entra en una cuenta -multiplicar, dividir, potencia, float(), int(), numpy y las propiedades derivadas: once vias probadas- y dice que magnitud falta y como se obtiene. Es la misma decision que _comprobar_ventana() y que el endurecimiento de sam(): fallar fuerte antes que devolver un numero creible que luego hay que tirar. Quedan 15 parametros PENDIENTES, que son los que traera la tarea 17. figura_escenario.py y exactitud.py ya leen de TABLA1 en vez de repetir literales, con los valores identicos comprobados. 23 pruebas nuevas en tests/test_montaje.py, una de ellas de regresion sobre la DECISION y no sobre la cuenta: falla si alguien rellena un hueco con un valor plausible mientras tanto. Suite de 299 a 322 en verde. PENDIENTE A PROPOSITO: retro_holograma.py y mi_holograma.py, que son los que atacaran hologramas reales, todavia no leen de MONTAJE. Conectarlos hoy los romperia -sus parametros estan sin medir- y son las dos piezas con las que se prueba antes de la semana 11; se conectan cuando vuelvan los numeros. comparacion.py se queda con su lambda propia: es un benchmark de tiempos y el tiempo no depende de lambda.</t>
        </is>
      </c>
    </row>
    <row r="77" s="22">
      <c r="A77" s="12" t="n">
        <v>74</v>
      </c>
      <c r="B77" s="12" t="inlineStr">
        <is>
          <t>Receso</t>
        </is>
      </c>
      <c r="C77" s="12" t="inlineStr">
        <is>
          <t>F1</t>
        </is>
      </c>
      <c r="D77" s="13" t="inlineStr">
        <is>
          <t>Anadir soporte de GPU a los cuatro barridos mi_prueba_*</t>
        </is>
      </c>
      <c r="E77" s="13" t="inlineStr">
        <is>
          <t>Los cuatro scripts corriendo en CPU y GPU + suite de paridad</t>
        </is>
      </c>
      <c r="F77" s="12" t="inlineStr">
        <is>
          <t>Media</t>
        </is>
      </c>
      <c r="G77" s="12" t="inlineStr">
        <is>
          <t>Hecho</t>
        </is>
      </c>
      <c r="H77" s="12" t="inlineStr">
        <is>
          <t>11/09/2026</t>
        </is>
      </c>
      <c r="I77" s="13" t="inlineStr">
        <is>
          <t>Hecha el 08/09, en la semana de receso. Los cuatro barridos puntuados de scripts/mi_prueba_*.py aceptan ahora DISPOSITIVO -auto, cpu o gpu- y DTYPE, con la politica de CamposT.backend: complex64 en GPU, complex128 en CPU, y las FASES siempre en float64. DE DONDE SALE EL DISENO: blas y mpasm ya tenian xp y dtype en la firma de su propagador y un bloque `backend` marcado y VACIO, asi que solo faltaba quien los eligiera. angular y dlhm no podian tocarse igual porque su implementacion de referencia esta copiada tal cual -angularSpectrum de pyDHM, y point_src + angular_spectrum de dlhm.py-, asi que reciben COPIA DE TRABAJO -espectro_angular, fuente_puntual- y la referencia se queda intacta. Es lo que el encabezado de esos mismos archivos manda hacer. MEDIDO sobre BenchmarkTarget 3000x4000, la misma corrida en las dos maquinas: dlhm 152.92 s -&gt; 6.33 s (x24, 25 pasos), angular 16.54 -&gt; 0.49 (x34), mpasm 45.95 -&gt; 1.67 (x28), blas 9.19 -&gt; 0.93 (x10). Las curvas del barrido salen IDENTICAS a los cuatro decimales que imprime la consola. EQUIVALENCIA contra la referencia de cada script, que ahora se imprime en cada corrida: 0.0 EXACTO en CPU/complex128 -misma aritmetica y misma biblioteca de FFT-, 6e-16 a 1.1e-12 en GPU/complex128 -cuFFT redondea distinto que pocketfft- y 2.5e-7 a 9.0e-7 en GPU/complex64. El caso de en medio es el que separa el DISPOSITIVO de la PRECISION: lo que se pierde arriba es la mantisa, no la tarjeta. La reduccion de correlacion() va en float64 aunque el campo venga en complex64: sobre 1.2e7 sumandos el error de float32 es del orden de lo que separa dos pasos del barrido, y el argmax se iria a un z equivocado. tests/test_gpu_mi_prueba.py, 54 pruebas; suite total de 360 a 414 en verde. LO QUE NO ARREGLA, y es lo importante: la tarjeta es una RTX 3050 Laptop de 4 GB, asi que con SOBREMUESTREO = None la malla que exige la geometria en dlhm sigue siendo 13312x13312 -1.42 GB POR ARRAY en complex64, y la cadena necesita varios a la vez- y NO cabe. Lo que complex64 compra es aproximadamente el DOBLE de recorte que en CPU: ~1700 px de lado contra ~1300. El callejon que documenta la tarea 27 sigue abierto, y la salida sigue siendo puntuar por nitidez. DOS COSAS QUE LAS PRUEBAS ENCONTRARON: sincronizar() no existia en los retro_*, sale de CamposT.backend, y la atribucion que se habia escrito era falsa; y la tolerancia de GPU/complex128 no podia ser 1e-12 porque dlhm da 1.1e-12. De paso, corregido el aviso de malla rectangular de blas y mpasm, que hablaba de los ejes cruzados de angularSpectrum cuando ninguno de los dos la usa: era copia-pega desde angular y contradecia al docstring del propio archivo.</t>
        </is>
      </c>
    </row>
    <row r="78" ht="25.5" customHeight="1" s="22">
      <c r="A78" s="12" t="n">
        <v>75</v>
      </c>
      <c r="B78" s="12" t="n">
        <v>9</v>
      </c>
      <c r="C78" s="12" t="inlineStr">
        <is>
          <t>F1</t>
        </is>
      </c>
      <c r="D78" s="13" t="inlineStr">
        <is>
          <t>Corregir el bug de ejes cruzados en mi_prueba_mpasm y anadir guarda de convencion de ejes</t>
        </is>
      </c>
      <c r="E78" s="13" t="inlineStr">
        <is>
          <t>Guarda de ejes en los sidecar + mpasm_minimo.py + montaje con datos medidos</t>
        </is>
      </c>
      <c r="F78" s="12" t="inlineStr">
        <is>
          <t>Alta</t>
        </is>
      </c>
      <c r="G78" s="12" t="inlineStr">
        <is>
          <t>Hecho</t>
        </is>
      </c>
      <c r="H78" s="12" t="inlineStr">
        <is>
          <t>18/09/2026</t>
        </is>
      </c>
      <c r="I78" s="13" t="inlineStr">
        <is>
          <t>Commit 4e0927c0e. _comprobar_con_el_sidecar() de mi_prueba_angular, _blas y _mpasm compara ahora tambien la CONVENCION DE EJES contra el .txt del holograma, no solo lambda y delta: angularSpectrum de pyDHM cruza dfx y dfy (cada eje con la longitud del OTRO), espectro_angular_bl y mpasm_bloques llevan cada uno el suyo; en malla cuadrada da igual, en rectangular son dos transformadas distintas y la vuelta no deshace la ida, sin lanzar ni avisar. mi_prueba_mpasm era la victima: EJES_CRUZADOS = True describia al holograma de su RUTA y no a mpasm_bloques, y silenciaba la guarda. MEDIDO sobre la misma configuracion (mismo holograma, mismo propagador, misma metrica, cruzando solo las frecuencias): con cada eje su longitud, foco 16.500 mm, corr 0.8089, altura 0.0161; con los ejes cruzados (los del .txt), foco 10.000 mm, corr 0.8615, altura 0.0792, para un holograma hecho a 10.000 mm. Ahora EJES_CRUZADOS = False y RUTA apunta a blas/z0200.000.npy (BL-ASM, ejes en su sitio): enfoca en 200.000 mm con corr 0.9132, igual al docstring. Sobre el .png de al lado (sin fase) la curva no tiene pico (0.6717 a 0.6744 entre 199.80 y 200.20, subiendo al final): la gemela pesa tanto como la imagen real. retro_mpasm: Kf POR EJE en vez del min() de los dos, porque Kf va como 1/sqrt(N) y el eje corto pide mas compresion que el largo. Contrastado ademas que mpasm_minimo.mpasm (nuevo, el propagador de Zhao solo) y mpasm_bloques son el mismo algoritmo: 1.7e-15 de diferencia maxima, correlacion 1.000000000000 en CPU/complex128. montaje.py: lambda, pinhole y los dos pasos de pixel y L pasan de SinMedir a valores medidos (insumo de la tarea 17). Nuevos scripts/barrido_foco.py (autofoco con Tamura, Pearson y SSIM) y scripts/propagar_imagen.py, y tests/test_sidecar_ejes.py + tests/test_kf_por_eje_scripts.py. 465 passed, 4 skipped.</t>
        </is>
      </c>
    </row>
    <row r="79" ht="25.5" customHeight="1" s="22">
      <c r="A79" s="12" t="n">
        <v>76</v>
      </c>
      <c r="B79" s="12" t="n">
        <v>9</v>
      </c>
      <c r="C79" s="12" t="inlineStr">
        <is>
          <t>F1</t>
        </is>
      </c>
      <c r="D79" s="13" t="inlineStr">
        <is>
          <t>Encadenar el SSIM de CPU con la propagacion GPU en barrido_foco</t>
        </is>
      </c>
      <c r="E79" s="13" t="inlineStr">
        <is>
          <t>Barrido de foco mas rapido sin perder precision</t>
        </is>
      </c>
      <c r="F79" s="12" t="inlineStr">
        <is>
          <t>Media</t>
        </is>
      </c>
      <c r="G79" s="12" t="inlineStr">
        <is>
          <t>Hecho</t>
        </is>
      </c>
      <c r="H79" s="12" t="inlineStr">
        <is>
          <t>18/09/2026</t>
        </is>
      </c>
      <c r="I79" s="13" t="inlineStr">
        <is>
          <t>Commit e1580599b0. SSIM es la unica de las tres metricas de barrido_foco.py que corre en CPU (skimage no tiene version GPU) y mientras se calcula la tarjeta esta parada. El bucle ahora LANZA la propagacion del paso i (mpasm() vuelve enseguida, CuPy encola asincrono) y, mientras la GPU la hace, la CPU cierra el SSIM del paso i-1: el costo por z pasa de la SUMA de los dos lados al MAYOR. No hacen falta hilos, el solapamiento lo da el driver (basta con no sincronizar entre el lanzamiento y el trabajo de CPU); desaparece el cp.cuda.Stream.null.synchronize() explicito. MEDIDO sobre 62 retropropagaciones, BORDE_PX = 1000, Z_REAL = 60, RTX 3050 Laptop, serie vs solapado: con S=1, 42.2 s -&gt; 27.9 s (34% de ahorro, 391-&gt;157 ms/z en la GPU); con S=2, 112.8 s -&gt; 102.0 s (10%, 1503-&gt;1333 ms/z). No llega al techo: SSIM cuesta ~17 s en las cuatro corridas y con S=1 se esconden 14.3 de esos 17 (86%), con S=2 solo 10.8 (63%) aun sobrando sitio para esconderlo entero; queda como hipotesis SIN MEDIR que la copia a CPU y el reparto del pool de CuPy comparten stream con la propagacion. Las curvas salen IDENTICAS bit a bit contra la version en serie en los dos valores de S (comprobado clave por clave del .npz), porque esto mueve el reloj y no los numeros; se escriben por INDICE y no con append, porque el paso i-1 se cierra una vuelta mas tarde que el i. Dos constantes nuevas: EN_CPU (que metricas viven en CPU) y SOLAPAR (apaga el encadenado para remedir en serie), con SOLAPANDO desactivandolo solo cuando no hay GPU que adelantar o no hay metrica de CPU que esconder. Probada tambien la ruta sin tarjeta (GPU=False, malla 512x512): cae a serie y las tres metricas aciertan el foco. 465 passed, 4 skipped.</t>
        </is>
      </c>
    </row>
    <row r="80" ht="25.5" customHeight="1" s="22">
      <c r="A80" s="12" t="n">
        <v>77</v>
      </c>
      <c r="B80" s="12" t="n">
        <v>10</v>
      </c>
      <c r="C80" s="12" t="inlineStr">
        <is>
          <t>F1</t>
        </is>
      </c>
      <c r="D80" s="13" t="inlineStr">
        <is>
          <t>Anadir ROI arrastrable y bloques de memoria a barrido_foco / mpasm_minimo</t>
        </is>
      </c>
      <c r="E80" s="13" t="inlineStr">
        <is>
          <t>Barrido de foco enfocable a una region, sin desbordar memoria</t>
        </is>
      </c>
      <c r="F80" s="12" t="inlineStr">
        <is>
          <t>Media</t>
        </is>
      </c>
      <c r="G80" s="12" t="inlineStr">
        <is>
          <t>En curso</t>
        </is>
      </c>
      <c r="H80" s="12" t="inlineStr">
        <is>
          <t>25/09/2026</t>
        </is>
      </c>
      <c r="I80" s="13" t="inlineStr">
        <is>
          <t>SIN COMMITEAR al 22/09 (arbol de trabajo). ROI en barrido_foco.py: mpasm(ventana=...) evalua la salida solo en una region del plano en vez de recortar el holograma de entrada, para no perder los angulos altos del cono ni meter anillos de corte en la metrica; ROI = None (borde de siempre), True (se arrastra con el raton sobre |U0|^2) o una tupla (X0,Y0,ANCHO,ALTO). Avisa hasta que z el margen sigue tapando los anillos del borde (z_cubre). mpasm_minimo.mpasm gana el parametro ventana (calcula solo esa porcion de la malla de salida; la entrada sigue siendo el holograma entero y Kf no cambia) y arma la funcion de transferencia POR BLOQUES de filas en vez de entera: con 3000x4000 y s=3 los temporales enteros pasaban de 4 GB encima de F, y en Windows el driver no fallaba, desbordaba a RAM y cada z se arrastraba; el paso de bloque es ~64 MB de float64. La mascara arg&gt;0 se aplica por producto y no con indexado booleano, porque el indexado obliga a CuPy a sincronizar y rompia el encadenado SOLAPAR de la tarea 76. fasor() ahora escribe cos/sin directo en el dtype de trabajo en vez de pasar por complex128 (el doble de memoria). De paso, en los parametros del script S baja de 2 a 1 y SOLAPAR de True a False, para volver a medir en serie.</t>
        </is>
      </c>
    </row>
    <row r="81" ht="25.5" customHeight="1" s="22">
      <c r="A81" s="12" t="n">
        <v>78</v>
      </c>
      <c r="B81" s="12" t="n">
        <v>10</v>
      </c>
      <c r="C81" s="12" t="inlineStr">
        <is>
          <t>F2</t>
        </is>
      </c>
      <c r="D81" s="13" t="inlineStr">
        <is>
          <t>Implementar el MPASM con la onda esferica exacta para DLHM (CamposT/dlhm.py)</t>
        </is>
      </c>
      <c r="E81" s="13" t="inlineStr">
        <is>
          <t>CamposT/dlhm.py + tests/test_dlhm.py + scripts/verif_dlhm_esferico.py</t>
        </is>
      </c>
      <c r="F81" s="12" t="inlineStr">
        <is>
          <t>Alta</t>
        </is>
      </c>
      <c r="G81" s="12" t="inlineStr">
        <is>
          <t>Hecho</t>
        </is>
      </c>
      <c r="H81" s="12" t="inlineStr">
        <is>
          <t>25/09/2026</t>
        </is>
      </c>
      <c r="I81" s="13" t="inlineStr">
        <is>
          <t>Commit 17b6e2f510. MPASM con la onda esferica EXACTA en los dos sentidos, sin aproximacion paraxial: CamposT/dlhm.py, con holograma() para simular y Reconstructor/reconstruir() para reconstruir; el Reconstructor calcula el espectro del sensor una sola vez para todo un barrido de z. La parte parabolica de e^{ikr}/r va DENTRO de las matrices de la DFT con integrales de Fresnel (ventana_chirp: la DFT exacta de una entrada de banda limitada por un chirp sin muestrear) y el residuo no paraxial punto a punto; la rejilla de frecuencias sale de la geometria, con banda mas ancha que 1/delta (Kf &lt; 1: expansion, no compresion), y se reconstruye c - 1 (con c, la referencia truncada en el borde del sensor bajaba la corr de 0.90 a 0.27). SUPERA LA RECOMENDACION (i) DE LA TAREA 24: el escalado z_eq en la malla delta/M solo se habia validado con objetos lisos de 6 a 30 um; con detalle de ~1.25 um su ida contra Rayleigh-Sommerfeld directo da error 0.47 en el eje, 0.65 a 5.7 grados y 0.89 a 12.4, y la exacta 3.6e-6 en los tres. Sensor entero (N = 3000, borde a 15.3 grados): corr con el objeto 0.969 en la ventana entera (1.0000 hasta 3 grados, 0.925 en la esquina) contra 0.683 del escalado; la misma rejilla sin las ventanas de Fresnel da 0.516, y en N = 2048 entre 0.42 y 0.946 segun el periodo P: acierta por geometria, no por construccion. Coste por z igual al escalado: 0.36 frente a 0.33 s en N = 3000; con 3000x4000 px son 5200x7712 frecuencias (306 MB en complex64), 9.8 s una vez y 0.56 s por z en la RTX 3050. Autofoco por nitidez sobre un holograma de INTENSIDAD del BenchmarkTarget a z = 3 mm: la exacta encuentra 3.0005 mm y el escalado se va al extremo del barrido. Contrastada con reconstruir() de mi_prueba_dlhm (la cadena de Carlos): corr 0.993 con malla PAR y remuestreo de banda limitada; con la malla impar que da malla_remuestreada (2027) solo 0.875, porque su linspace no pasa por f = 0 y desplaza ~1 um. tests/test_dlhm.py: 21 pruebas, 10 de 10 mutaciones detectadas; scripts/verif_dlhm_esferico.py reproduce las cifras; scipy pasa a dependencia. 486 passed, 4 skipped. Fusionada a main el 27/09. Cierra las tareas 25 y 27, decidido el 27/09. DEUDAS ABIERTAS: la malla impar de malla_remuestreada sigue sin corregir; la imagen gemela no se suprime; no se modela la integracion del pixel; la ida del sensor entero tarda 34 s en GPU; y hay que revisar la diapositiva 9 (Kf) y el PDF de la tarea 24.</t>
        </is>
      </c>
    </row>
    <row r="82" ht="25.5" customHeight="1" s="22">
      <c r="A82" s="12" t="n">
        <v>79</v>
      </c>
      <c r="B82" s="12" t="n">
        <v>11</v>
      </c>
      <c r="C82" s="12" t="inlineStr">
        <is>
          <t>F2</t>
        </is>
      </c>
      <c r="D82" s="13" t="inlineStr">
        <is>
          <t>Portar la seleccion de foco de barrido_foco a mi_prueba_dlhm (motores exacto y de Carlos) y anadir el modelo de Lopera como segundo simulador</t>
        </is>
      </c>
      <c r="E82" s="13" t="inlineStr">
        <is>
          <t>scripts/mi_prueba_dlhm.py + tests/test_mi_prueba_dlhm_seleccion.py + arreglo de CamposT/dlhm.py</t>
        </is>
      </c>
      <c r="F82" s="12" t="inlineStr">
        <is>
          <t>Alta</t>
        </is>
      </c>
      <c r="G82" s="12" t="inlineStr">
        <is>
          <t>Hecho</t>
        </is>
      </c>
      <c r="H82" s="12" t="inlineStr">
        <is>
          <t>02/10/2026</t>
        </is>
      </c>
      <c r="I82" s="13" t="inlineStr">
        <is>
          <t>Commits 4e08e49050 (CamposT/dlhm.py) y dfe6fe7a27. mi_prueba_dlhm.py elige el foco con los parametros de seleccion de barrido_foco (Tamura, Pearson y SSIM sobre la misma reconstruccion, grueso + fino, ROI o cuarto central, tabla, curvas.npz y dos figuras; metricas copiadas con prueba ast) y dos motores: exacto (CamposT.dlhm, holograma entero) y de Carlos (reconstruir() sobre el recorte: hay que dividir por |U0|^2 -0.84 frente a 0.21-, tomar la huella del 1/M central y usar un ROI cuadrado). BenchmarkTarget simulado 3000x4000 a z = 3 mm: exacto 3.0000 en las tres metricas, tambien con Z_REAL a medio paso de la rejilla; Carlos (ROI 1024) a 2 um; objeto de fase, -Tamura a 1 um. El ~0.03 del script viejo era la geometria de referencia_a_escala(): +0.051 frente a -0.731 con la huella. Arreglado de paso holograma() de CamposT/dlhm.py: el soporte recortaba la frecuencia del otro eje a 1/lambda y pedia 86.7 GB con 3000x4000; ahora 40 s en GPU y RS sigue en 3.7e-6. SIMULADOR = 'lopera': el modelo de Lopera et al. 2024 (su dlhm() copiada literal, verificada bit a bit contra su codigo): su holograma reconstruido exacto enfoca +14 a +20 um fuera de Z_REAL; sin Brown-Conrady, envolvente ni 8 bits sigue (+16 a +27 um): es su nucleo paraxial (contra la ida exacta, 1.00000 con objeto liso y 0.895 con detalle fino). 49 pruebas nuevas; suite 551 passed.</t>
        </is>
      </c>
    </row>
  </sheetData>
  <autoFilter ref="A3:I82"/>
  <mergeCells count="1">
    <mergeCell ref="A1:I1"/>
  </mergeCells>
  <conditionalFormatting sqref="G4:G200">
    <cfRule type="cellIs" priority="2" operator="equal" dxfId="2">
      <formula>"Hecho"</formula>
    </cfRule>
    <cfRule type="cellIs" priority="3" operator="equal" dxfId="1">
      <formula>"En curso"</formula>
    </cfRule>
    <cfRule type="cellIs" priority="4" operator="equal" dxfId="0">
      <formula>"Bloqueado"</formula>
    </cfRule>
  </conditionalFormatting>
  <dataValidations count="1">
    <dataValidation sqref="G4:G200" showDropDown="0" showInputMessage="0" showErrorMessage="0" allowBlank="1" error="Selecciona un valor de la lista" type="list">
      <formula1>"Pendiente,En curso,Hecho,Bloqueado"</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13"/>
  <sheetViews>
    <sheetView zoomScaleNormal="100" workbookViewId="0">
      <selection activeCell="A1" sqref="A1:D1"/>
    </sheetView>
  </sheetViews>
  <sheetFormatPr baseColWidth="10" defaultColWidth="8.6640625" defaultRowHeight="14.4"/>
  <cols>
    <col width="16" customWidth="1" style="22" min="1" max="1"/>
    <col width="12" customWidth="1" style="22" min="2" max="2"/>
    <col width="56" customWidth="1" style="22" min="3" max="3"/>
    <col width="18" customWidth="1" style="22" min="4" max="4"/>
  </cols>
  <sheetData>
    <row r="1" ht="21.75" customHeight="1" s="22">
      <c r="A1" s="21" t="inlineStr">
        <is>
          <t>Fechas institucionales confirmadas (Directrices 2026-2)</t>
        </is>
      </c>
    </row>
    <row r="3" ht="30" customHeight="1" s="22">
      <c r="A3" s="8" t="inlineStr">
        <is>
          <t>Fecha</t>
        </is>
      </c>
      <c r="B3" s="8" t="inlineStr">
        <is>
          <t>Semana</t>
        </is>
      </c>
      <c r="C3" s="8" t="inlineStr">
        <is>
          <t>Actividad</t>
        </is>
      </c>
      <c r="D3" s="8" t="inlineStr">
        <is>
          <t>Peso en la nota</t>
        </is>
      </c>
    </row>
    <row r="4" ht="24" customHeight="1" s="22">
      <c r="A4" s="12" t="inlineStr">
        <is>
          <t>27 de julio de 2026</t>
        </is>
      </c>
      <c r="B4" s="12" t="inlineStr">
        <is>
          <t>3</t>
        </is>
      </c>
      <c r="C4" s="13" t="inlineStr">
        <is>
          <t>Anteproyecto - documento escrito</t>
        </is>
      </c>
      <c r="D4" s="12" t="inlineStr">
        <is>
          <t>10 % (con sustentacion)</t>
        </is>
      </c>
    </row>
    <row r="5" ht="24" customHeight="1" s="22">
      <c r="A5" s="12" t="inlineStr">
        <is>
          <t>3 de agosto de 2026</t>
        </is>
      </c>
      <c r="B5" s="12" t="inlineStr">
        <is>
          <t>4</t>
        </is>
      </c>
      <c r="C5" s="13" t="inlineStr">
        <is>
          <t>Anteproyecto - sustentacion oral</t>
        </is>
      </c>
      <c r="D5" s="12" t="inlineStr">
        <is>
          <t>10 % (con documento)</t>
        </is>
      </c>
    </row>
    <row r="6" ht="24" customHeight="1" s="22">
      <c r="A6" s="12" t="inlineStr">
        <is>
          <t>31 de agosto de 2026</t>
        </is>
      </c>
      <c r="B6" s="12" t="inlineStr">
        <is>
          <t>8</t>
        </is>
      </c>
      <c r="C6" s="13" t="inlineStr">
        <is>
          <t>Exposicion informe de avance 1</t>
        </is>
      </c>
      <c r="D6" s="12" t="inlineStr">
        <is>
          <t>5 %</t>
        </is>
      </c>
    </row>
    <row r="7" ht="24" customHeight="1" s="22">
      <c r="A7" s="12" t="inlineStr">
        <is>
          <t>19 de octubre de 2026</t>
        </is>
      </c>
      <c r="B7" s="12" t="inlineStr">
        <is>
          <t>14</t>
        </is>
      </c>
      <c r="C7" s="13" t="inlineStr">
        <is>
          <t>Exposicion informe de avance 2</t>
        </is>
      </c>
      <c r="D7" s="12" t="inlineStr">
        <is>
          <t>5 %</t>
        </is>
      </c>
    </row>
    <row r="8" ht="24" customHeight="1" s="22">
      <c r="A8" s="12" t="inlineStr">
        <is>
          <t>30 de octubre de 2026</t>
        </is>
      </c>
      <c r="B8" s="12" t="inlineStr">
        <is>
          <t>15</t>
        </is>
      </c>
      <c r="C8" s="13" t="inlineStr">
        <is>
          <t>Limite de entrega del informe final con carta de aval</t>
        </is>
      </c>
      <c r="D8" s="12" t="inlineStr">
        <is>
          <t>-</t>
        </is>
      </c>
    </row>
    <row r="9" ht="24" customHeight="1" s="22">
      <c r="A9" s="12" t="inlineStr">
        <is>
          <t>Hasta el 20 de noviembre de 2026</t>
        </is>
      </c>
      <c r="B9" s="12" t="inlineStr">
        <is>
          <t>18</t>
        </is>
      </c>
      <c r="C9" s="13" t="inlineStr">
        <is>
          <t>Defensa o presentacion publica ante jurados</t>
        </is>
      </c>
      <c r="D9" s="12" t="inlineStr">
        <is>
          <t>45 %</t>
        </is>
      </c>
    </row>
    <row r="10" ht="24" customHeight="1" s="22">
      <c r="A10" s="12" t="inlineStr">
        <is>
          <t>Hasta el 20 de noviembre de 2026</t>
        </is>
      </c>
      <c r="B10" s="12" t="inlineStr">
        <is>
          <t>18</t>
        </is>
      </c>
      <c r="C10" s="13" t="inlineStr">
        <is>
          <t>Desarrollo del trabajo y sustentacion (asesor)</t>
        </is>
      </c>
      <c r="D10" s="12" t="inlineStr">
        <is>
          <t>35 %</t>
        </is>
      </c>
    </row>
    <row r="11" ht="24" customHeight="1" s="22">
      <c r="A11" s="12" t="inlineStr">
        <is>
          <t>9 y 10 de diciembre de 2026</t>
        </is>
      </c>
      <c r="B11" s="12" t="inlineStr">
        <is>
          <t>-</t>
        </is>
      </c>
      <c r="C11" s="13" t="inlineStr">
        <is>
          <t>Ceremonia de grados</t>
        </is>
      </c>
      <c r="D11" s="12" t="inlineStr">
        <is>
          <t>-</t>
        </is>
      </c>
    </row>
    <row r="13">
      <c r="A13" s="24" t="inlineStr">
        <is>
          <t>Nota: la Opcion 1 (con opcion a mencion de honor) exigiria entregar el informe final el 13 de octubre (semana 13) y defender antes del 6 de noviembre. Este cronograma sigue la Opcion 2.</t>
        </is>
      </c>
    </row>
  </sheetData>
  <mergeCells count="2">
    <mergeCell ref="A1:D1"/>
    <mergeCell ref="A13:D13"/>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2026-08-04T17:11:20Z</dcterms:created>
  <dcterms:modified xsi:type="dcterms:W3CDTF">2026-09-29T04:01:28Z</dcterms:modified>
  <cp:lastModifiedBy>Camilo Rodriguez Londoño</cp:lastModifiedBy>
  <cp:revision>0</cp:revision>
</cp:coreProperties>
</file>